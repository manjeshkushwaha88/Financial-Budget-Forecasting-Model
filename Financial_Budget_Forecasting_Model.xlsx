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66cbcd660c7a18/Pictures/Documents/"/>
    </mc:Choice>
  </mc:AlternateContent>
  <xr:revisionPtr revIDLastSave="265" documentId="8_{12467D49-C259-40F6-8CA8-DB62DDE3B9F2}" xr6:coauthVersionLast="47" xr6:coauthVersionMax="47" xr10:uidLastSave="{EFB2DDF9-849B-4D2F-9134-6FADDA2B5B3B}"/>
  <bookViews>
    <workbookView xWindow="-96" yWindow="-96" windowWidth="23232" windowHeight="12432" firstSheet="1" activeTab="1" xr2:uid="{CE6D720E-374A-4058-8394-0E26EE8DF28C}"/>
  </bookViews>
  <sheets>
    <sheet name="Historical_Data" sheetId="2" r:id="rId1"/>
    <sheet name="Assumptions" sheetId="1" r:id="rId2"/>
    <sheet name="Income_statement" sheetId="5" r:id="rId3"/>
    <sheet name="SUMMARY" sheetId="7" r:id="rId4"/>
    <sheet name="Revenue_and_expense_forecast" sheetId="3" r:id="rId5"/>
    <sheet name="Dashboard" sheetId="6" r:id="rId6"/>
  </sheets>
  <definedNames>
    <definedName name="Hist_Data">Table1[#All]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F2" i="3" a="1"/>
  <c r="F2" i="3" s="1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B2" i="3" a="1"/>
  <c r="B2" i="3" s="1"/>
  <c r="C2" i="3" a="1"/>
  <c r="C2" i="3" s="1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G32" i="3" l="1"/>
  <c r="G14" i="3"/>
  <c r="G24" i="3"/>
  <c r="G16" i="3"/>
  <c r="G8" i="3"/>
  <c r="G31" i="3"/>
  <c r="G23" i="3"/>
  <c r="G15" i="3"/>
  <c r="G7" i="3"/>
  <c r="G30" i="3"/>
  <c r="G22" i="3"/>
  <c r="G6" i="3"/>
  <c r="G27" i="3"/>
  <c r="G19" i="3"/>
  <c r="G11" i="3"/>
  <c r="G3" i="3"/>
  <c r="G26" i="3"/>
  <c r="G18" i="3"/>
  <c r="G10" i="3"/>
  <c r="G29" i="3"/>
  <c r="G21" i="3"/>
  <c r="G13" i="3"/>
  <c r="G5" i="3"/>
  <c r="G28" i="3"/>
  <c r="G20" i="3"/>
  <c r="G12" i="3"/>
  <c r="G4" i="3"/>
  <c r="G2" i="3"/>
  <c r="G25" i="3"/>
  <c r="G17" i="3"/>
  <c r="G9" i="3"/>
  <c r="B3" i="3"/>
  <c r="D2" i="3"/>
  <c r="B5" i="5" l="1"/>
  <c r="H2" i="3"/>
  <c r="D3" i="3"/>
  <c r="H3" i="3" s="1"/>
  <c r="B4" i="3"/>
  <c r="D4" i="3" l="1"/>
  <c r="H4" i="3" s="1"/>
  <c r="B5" i="3"/>
  <c r="B6" i="3" l="1"/>
  <c r="D5" i="3"/>
  <c r="H5" i="3" s="1"/>
  <c r="D6" i="3" l="1"/>
  <c r="H6" i="3" s="1"/>
  <c r="B7" i="3"/>
  <c r="D7" i="3" l="1"/>
  <c r="H7" i="3" s="1"/>
  <c r="B8" i="3"/>
  <c r="D8" i="3" l="1"/>
  <c r="H8" i="3" s="1"/>
  <c r="B9" i="3"/>
  <c r="D9" i="3" l="1"/>
  <c r="H9" i="3" s="1"/>
  <c r="B10" i="3"/>
  <c r="D10" i="3" l="1"/>
  <c r="H10" i="3" s="1"/>
  <c r="B11" i="3"/>
  <c r="B12" i="3" l="1"/>
  <c r="D11" i="3"/>
  <c r="H11" i="3" s="1"/>
  <c r="D12" i="3" l="1"/>
  <c r="H12" i="3" s="1"/>
  <c r="B13" i="3"/>
  <c r="D13" i="3" l="1"/>
  <c r="H13" i="3" s="1"/>
  <c r="B14" i="3"/>
  <c r="D14" i="3" l="1"/>
  <c r="H14" i="3" s="1"/>
  <c r="B15" i="3"/>
  <c r="D15" i="3" l="1"/>
  <c r="H15" i="3" s="1"/>
  <c r="B16" i="3"/>
  <c r="D16" i="3" l="1"/>
  <c r="H16" i="3" s="1"/>
  <c r="B17" i="3"/>
  <c r="D17" i="3" l="1"/>
  <c r="H17" i="3" s="1"/>
  <c r="B18" i="3"/>
  <c r="D18" i="3" l="1"/>
  <c r="H18" i="3" s="1"/>
  <c r="B19" i="3"/>
  <c r="D19" i="3" l="1"/>
  <c r="H19" i="3" s="1"/>
  <c r="B20" i="3"/>
  <c r="B21" i="3" l="1"/>
  <c r="D20" i="3"/>
  <c r="H20" i="3" s="1"/>
  <c r="B22" i="3" l="1"/>
  <c r="D21" i="3"/>
  <c r="H21" i="3" s="1"/>
  <c r="B23" i="3" l="1"/>
  <c r="D22" i="3"/>
  <c r="H22" i="3" s="1"/>
  <c r="B24" i="3" l="1"/>
  <c r="D23" i="3"/>
  <c r="H23" i="3" s="1"/>
  <c r="B25" i="3" l="1"/>
  <c r="D24" i="3"/>
  <c r="H24" i="3" s="1"/>
  <c r="B26" i="3" l="1"/>
  <c r="D25" i="3"/>
  <c r="H25" i="3" s="1"/>
  <c r="B27" i="3" l="1"/>
  <c r="D26" i="3"/>
  <c r="H26" i="3" s="1"/>
  <c r="B28" i="3" l="1"/>
  <c r="D27" i="3"/>
  <c r="H27" i="3" s="1"/>
  <c r="B29" i="3" l="1"/>
  <c r="D28" i="3"/>
  <c r="H28" i="3" s="1"/>
  <c r="B30" i="3" l="1"/>
  <c r="D29" i="3"/>
  <c r="H29" i="3" s="1"/>
  <c r="B31" i="3" l="1"/>
  <c r="D30" i="3"/>
  <c r="H30" i="3" s="1"/>
  <c r="B32" i="3" l="1"/>
  <c r="D32" i="3" s="1"/>
  <c r="D31" i="3"/>
  <c r="H31" i="3" s="1"/>
  <c r="B3" i="5" l="1"/>
  <c r="B7" i="5" s="1"/>
  <c r="B9" i="5" s="1"/>
  <c r="B11" i="5" s="1"/>
  <c r="B15" i="5" s="1"/>
  <c r="H32" i="3"/>
  <c r="B13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<sst xmlns="http://schemas.openxmlformats.org/spreadsheetml/2006/main" count="36" uniqueCount="35">
  <si>
    <t>Units_Sold</t>
  </si>
  <si>
    <t>Price_per_Unit</t>
  </si>
  <si>
    <t>Revenue</t>
  </si>
  <si>
    <t>Fixed_Cost</t>
  </si>
  <si>
    <t>Variable_Cost</t>
  </si>
  <si>
    <t>Date</t>
  </si>
  <si>
    <t>Variable</t>
  </si>
  <si>
    <t>Value</t>
  </si>
  <si>
    <t>Price Growth</t>
  </si>
  <si>
    <t>Inflation</t>
  </si>
  <si>
    <t>Variable Cost %</t>
  </si>
  <si>
    <t>Tax Rate</t>
  </si>
  <si>
    <t>Forecast Months</t>
  </si>
  <si>
    <t>Units_Forecast</t>
  </si>
  <si>
    <t>Price_Forecast</t>
  </si>
  <si>
    <t>Units_Growth</t>
  </si>
  <si>
    <t>Revenue Forecast</t>
  </si>
  <si>
    <t>Total Revenue</t>
  </si>
  <si>
    <t>Total Cost</t>
  </si>
  <si>
    <t>EBITDA</t>
  </si>
  <si>
    <t xml:space="preserve">Tax </t>
  </si>
  <si>
    <t>Net Profit</t>
  </si>
  <si>
    <t>Forecasted Income Statement</t>
  </si>
  <si>
    <t>EBITDA Margin</t>
  </si>
  <si>
    <t>NET PROFIT MARGIN</t>
  </si>
  <si>
    <t>Fixed_Cost_forecast</t>
  </si>
  <si>
    <t>Variable_Cost_forecast</t>
  </si>
  <si>
    <t>Total_Cost_Forecast</t>
  </si>
  <si>
    <t>Net profit Forecast</t>
  </si>
  <si>
    <t>Row Labels</t>
  </si>
  <si>
    <t>Grand Total</t>
  </si>
  <si>
    <t>Sum of Total_Cost_Forecast</t>
  </si>
  <si>
    <t>Sum of Net profit Forecast</t>
  </si>
  <si>
    <t>Sum of Revenue Forecast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</si>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</sst>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17" fontId="2" fillId="0" borderId="0" xfId="0" applyNumberFormat="1" applyFont="1"/>
    <xf numFmtId="0" fontId="2" fillId="0" borderId="0" xfId="0" applyFont="1"/>
    <xf numFmtId="0" fontId="0" fillId="0" borderId="1" xfId="0" applyBorder="1"/>
    <xf numFmtId="164" fontId="0" fillId="0" borderId="0" xfId="0" applyNumberFormat="1"/>
    <xf numFmtId="0" fontId="2" fillId="0" borderId="1" xfId="0" applyFont="1" applyBorder="1"/>
    <xf numFmtId="164" fontId="4" fillId="0" borderId="1" xfId="1" applyNumberFormat="1" applyFont="1" applyBorder="1"/>
    <xf numFmtId="164" fontId="4" fillId="0" borderId="1" xfId="0" applyNumberFormat="1" applyFont="1" applyBorder="1"/>
    <xf numFmtId="0" fontId="2" fillId="3" borderId="1" xfId="0" applyFont="1" applyFill="1" applyBorder="1"/>
    <xf numFmtId="164" fontId="4" fillId="3" borderId="1" xfId="1" applyNumberFormat="1" applyFont="1" applyFill="1" applyBorder="1"/>
    <xf numFmtId="164" fontId="4" fillId="3" borderId="1" xfId="0" applyNumberFormat="1" applyFont="1" applyFill="1" applyBorder="1"/>
    <xf numFmtId="164" fontId="3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164" fontId="0" fillId="5" borderId="1" xfId="0" applyNumberFormat="1" applyFill="1" applyBorder="1"/>
    <xf numFmtId="0" fontId="0" fillId="6" borderId="1" xfId="0" applyFill="1" applyBorder="1" applyAlignment="1">
      <alignment vertical="center" wrapText="1"/>
    </xf>
    <xf numFmtId="9" fontId="0" fillId="6" borderId="1" xfId="0" applyNumberForma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9" fontId="4" fillId="3" borderId="1" xfId="2" applyFont="1" applyFill="1" applyBorder="1"/>
    <xf numFmtId="0" fontId="5" fillId="0" borderId="1" xfId="0" applyFont="1" applyBorder="1"/>
    <xf numFmtId="0" fontId="3" fillId="4" borderId="2" xfId="0" applyFont="1" applyFill="1" applyBorder="1" applyAlignment="1">
      <alignment horizontal="center" vertical="center" wrapText="1"/>
    </xf>
    <xf numFmtId="164" fontId="0" fillId="7" borderId="1" xfId="0" applyNumberFormat="1" applyFill="1" applyBorder="1"/>
    <xf numFmtId="0" fontId="3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4" fontId="0" fillId="5" borderId="3" xfId="0" applyNumberFormat="1" applyFill="1" applyBorder="1"/>
    <xf numFmtId="14" fontId="0" fillId="5" borderId="2" xfId="0" applyNumberFormat="1" applyFill="1" applyBorder="1"/>
    <xf numFmtId="0" fontId="0" fillId="5" borderId="4" xfId="0" applyFill="1" applyBorder="1"/>
    <xf numFmtId="164" fontId="0" fillId="5" borderId="4" xfId="0" applyNumberFormat="1" applyFill="1" applyBorder="1"/>
    <xf numFmtId="164" fontId="0" fillId="7" borderId="4" xfId="0" applyNumberForma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9" fontId="0" fillId="0" borderId="0" xfId="0" applyNumberFormat="1"/>
    <xf numFmtId="0" fontId="7" fillId="2" borderId="1" xfId="0" applyFont="1" applyFill="1" applyBorder="1" applyAlignment="1">
      <alignment horizontal="center"/>
    </xf>
    <xf numFmtId="0" fontId="9" fillId="8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8">
    <dxf>
      <numFmt numFmtId="164" formatCode="&quot;₹&quot;\ #,##0.0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2" tint="-0.89999084444715716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8081B68C-E276-4626-A54D-EA10F381B9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Revenue Forecast</a:t>
            </a:r>
            <a:r>
              <a:rPr lang="en-IN" sz="1800" baseline="0"/>
              <a:t> Trend</a:t>
            </a:r>
            <a:r>
              <a:rPr lang="en-IN" sz="1800"/>
              <a:t> </a:t>
            </a:r>
            <a:r>
              <a:rPr lang="en-IN" sz="1800" baseline="0"/>
              <a:t> 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Revenue_and_expense_forecast!$D$2:$D$32</c:f>
              <c:numCache>
                <c:formatCode>"₹"\ #,##0.00</c:formatCode>
                <c:ptCount val="31"/>
                <c:pt idx="0">
                  <c:v>2738139.9423212237</c:v>
                </c:pt>
                <c:pt idx="1">
                  <c:v>2739115.2319041323</c:v>
                </c:pt>
                <c:pt idx="2">
                  <c:v>2740090.8688724157</c:v>
                </c:pt>
                <c:pt idx="3">
                  <c:v>2741066.8533498081</c:v>
                </c:pt>
                <c:pt idx="4">
                  <c:v>2742043.1854600878</c:v>
                </c:pt>
                <c:pt idx="5">
                  <c:v>2743019.8653270775</c:v>
                </c:pt>
                <c:pt idx="6">
                  <c:v>2743996.8930746429</c:v>
                </c:pt>
                <c:pt idx="7">
                  <c:v>2744974.2688266942</c:v>
                </c:pt>
                <c:pt idx="8">
                  <c:v>2745951.9927071868</c:v>
                </c:pt>
                <c:pt idx="9">
                  <c:v>2746930.0648401193</c:v>
                </c:pt>
                <c:pt idx="10">
                  <c:v>2747908.485349535</c:v>
                </c:pt>
                <c:pt idx="11">
                  <c:v>2748887.254359521</c:v>
                </c:pt>
                <c:pt idx="12">
                  <c:v>2749866.3719942081</c:v>
                </c:pt>
                <c:pt idx="13">
                  <c:v>2750845.8383777714</c:v>
                </c:pt>
                <c:pt idx="14">
                  <c:v>2751825.6536344318</c:v>
                </c:pt>
                <c:pt idx="15">
                  <c:v>2752805.8178884531</c:v>
                </c:pt>
                <c:pt idx="16">
                  <c:v>2753786.3312641424</c:v>
                </c:pt>
                <c:pt idx="17">
                  <c:v>2754767.193885854</c:v>
                </c:pt>
                <c:pt idx="18">
                  <c:v>2755748.4058779837</c:v>
                </c:pt>
                <c:pt idx="19">
                  <c:v>2756729.9673649729</c:v>
                </c:pt>
                <c:pt idx="20">
                  <c:v>2757711.8784713075</c:v>
                </c:pt>
                <c:pt idx="21">
                  <c:v>2758694.1393215167</c:v>
                </c:pt>
                <c:pt idx="22">
                  <c:v>2759676.7500401749</c:v>
                </c:pt>
                <c:pt idx="23">
                  <c:v>2760659.7107519</c:v>
                </c:pt>
                <c:pt idx="24">
                  <c:v>2761643.0215813564</c:v>
                </c:pt>
                <c:pt idx="25">
                  <c:v>2762626.6826532506</c:v>
                </c:pt>
                <c:pt idx="26">
                  <c:v>2763610.6940923342</c:v>
                </c:pt>
                <c:pt idx="27">
                  <c:v>2764595.0560234045</c:v>
                </c:pt>
                <c:pt idx="28">
                  <c:v>2765579.7685713009</c:v>
                </c:pt>
                <c:pt idx="29">
                  <c:v>2766564.8318609088</c:v>
                </c:pt>
                <c:pt idx="30">
                  <c:v>2767550.246017158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0-43CB-95A1-04B0B6BE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3567488"/>
        <c:axId val="713560768"/>
      </c:barChart>
      <c:catAx>
        <c:axId val="71356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aseline="0"/>
                  <a:t> days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0.48388826404470903"/>
              <c:y val="0.9030788999162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60768"/>
        <c:crosses val="autoZero"/>
        <c:auto val="1"/>
        <c:lblAlgn val="ctr"/>
        <c:lblOffset val="100"/>
        <c:noMultiLvlLbl val="0"/>
      </c:catAx>
      <c:valAx>
        <c:axId val="7135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Revenue</a:t>
                </a:r>
                <a:r>
                  <a:rPr lang="en-IN" sz="1400" b="1" baseline="0"/>
                  <a:t> forecast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67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Cost</a:t>
            </a:r>
            <a:r>
              <a:rPr lang="en-IN" sz="1600" b="1" baseline="0"/>
              <a:t> Breakdown Chart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Fixed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Revenue_and_expense_forecast!$E$2:$E$32</c:f>
              <c:numCache>
                <c:formatCode>"₹"\ #,##0.00</c:formatCode>
                <c:ptCount val="31"/>
                <c:pt idx="0">
                  <c:v>251934.50684931505</c:v>
                </c:pt>
                <c:pt idx="1">
                  <c:v>251969.01842559577</c:v>
                </c:pt>
                <c:pt idx="2">
                  <c:v>252003.53472948968</c:v>
                </c:pt>
                <c:pt idx="3">
                  <c:v>252038.05576164438</c:v>
                </c:pt>
                <c:pt idx="4">
                  <c:v>252072.58152270762</c:v>
                </c:pt>
                <c:pt idx="5">
                  <c:v>252107.11201332716</c:v>
                </c:pt>
                <c:pt idx="6">
                  <c:v>252141.64723415091</c:v>
                </c:pt>
                <c:pt idx="7">
                  <c:v>252176.1871858268</c:v>
                </c:pt>
                <c:pt idx="8">
                  <c:v>252210.73186900292</c:v>
                </c:pt>
                <c:pt idx="9">
                  <c:v>252245.28128432744</c:v>
                </c:pt>
                <c:pt idx="10">
                  <c:v>252279.83543244857</c:v>
                </c:pt>
                <c:pt idx="11">
                  <c:v>252314.39431401464</c:v>
                </c:pt>
                <c:pt idx="12">
                  <c:v>252348.9579296741</c:v>
                </c:pt>
                <c:pt idx="13">
                  <c:v>252383.52628007543</c:v>
                </c:pt>
                <c:pt idx="14">
                  <c:v>252418.09936586721</c:v>
                </c:pt>
                <c:pt idx="15">
                  <c:v>252452.67718769814</c:v>
                </c:pt>
                <c:pt idx="16">
                  <c:v>252487.25974621699</c:v>
                </c:pt>
                <c:pt idx="17">
                  <c:v>252521.84704207262</c:v>
                </c:pt>
                <c:pt idx="18">
                  <c:v>252556.43907591398</c:v>
                </c:pt>
                <c:pt idx="19">
                  <c:v>252591.03584839011</c:v>
                </c:pt>
                <c:pt idx="20">
                  <c:v>252625.63736015014</c:v>
                </c:pt>
                <c:pt idx="21">
                  <c:v>252660.2436118433</c:v>
                </c:pt>
                <c:pt idx="22">
                  <c:v>252694.85460411888</c:v>
                </c:pt>
                <c:pt idx="23">
                  <c:v>252729.47033762629</c:v>
                </c:pt>
                <c:pt idx="24">
                  <c:v>252764.09081301501</c:v>
                </c:pt>
                <c:pt idx="25">
                  <c:v>252798.71603093459</c:v>
                </c:pt>
                <c:pt idx="26">
                  <c:v>252833.34599203471</c:v>
                </c:pt>
                <c:pt idx="27">
                  <c:v>252867.98069696513</c:v>
                </c:pt>
                <c:pt idx="28">
                  <c:v>252902.62014637564</c:v>
                </c:pt>
                <c:pt idx="29">
                  <c:v>252937.26434091624</c:v>
                </c:pt>
                <c:pt idx="30">
                  <c:v>252971.91328123689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D-46A5-BC1B-8002E529A4D3}"/>
            </c:ext>
          </c:extLst>
        </c:ser>
        <c:ser>
          <c:idx val="1"/>
          <c:order val="1"/>
          <c:tx>
            <c:v>Variable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Revenue_and_expense_forecast!$F$2:$F$32</c:f>
              <c:numCache>
                <c:formatCode>"₹"\ #,##0.00</c:formatCode>
                <c:ptCount val="31"/>
                <c:pt idx="0">
                  <c:v>547732.96328767121</c:v>
                </c:pt>
                <c:pt idx="1">
                  <c:v>548033.09093878779</c:v>
                </c:pt>
                <c:pt idx="2">
                  <c:v>548333.38304341177</c:v>
                </c:pt>
                <c:pt idx="3">
                  <c:v>548633.83969165478</c:v>
                </c:pt>
                <c:pt idx="4">
                  <c:v>548934.46097367769</c:v>
                </c:pt>
                <c:pt idx="5">
                  <c:v>549235.24697969074</c:v>
                </c:pt>
                <c:pt idx="6">
                  <c:v>549536.19779995363</c:v>
                </c:pt>
                <c:pt idx="7">
                  <c:v>549837.31352477556</c:v>
                </c:pt>
                <c:pt idx="8">
                  <c:v>550138.59424451517</c:v>
                </c:pt>
                <c:pt idx="9">
                  <c:v>550440.04004958074</c:v>
                </c:pt>
                <c:pt idx="10">
                  <c:v>550741.65103042987</c:v>
                </c:pt>
                <c:pt idx="11">
                  <c:v>551043.42727756989</c:v>
                </c:pt>
                <c:pt idx="12">
                  <c:v>551345.3688815576</c:v>
                </c:pt>
                <c:pt idx="13">
                  <c:v>551647.47593299963</c:v>
                </c:pt>
                <c:pt idx="14">
                  <c:v>551949.74852255196</c:v>
                </c:pt>
                <c:pt idx="15">
                  <c:v>552252.18674092053</c:v>
                </c:pt>
                <c:pt idx="16">
                  <c:v>552554.79067886085</c:v>
                </c:pt>
                <c:pt idx="17">
                  <c:v>552857.56042717805</c:v>
                </c:pt>
                <c:pt idx="18">
                  <c:v>553160.49607672717</c:v>
                </c:pt>
                <c:pt idx="19">
                  <c:v>553463.5977184131</c:v>
                </c:pt>
                <c:pt idx="20">
                  <c:v>553766.86544319033</c:v>
                </c:pt>
                <c:pt idx="21">
                  <c:v>554070.29934206337</c:v>
                </c:pt>
                <c:pt idx="22">
                  <c:v>554373.89950608648</c:v>
                </c:pt>
                <c:pt idx="23">
                  <c:v>554677.66602636385</c:v>
                </c:pt>
                <c:pt idx="24">
                  <c:v>554981.59899404959</c:v>
                </c:pt>
                <c:pt idx="25">
                  <c:v>555285.69850034779</c:v>
                </c:pt>
                <c:pt idx="26">
                  <c:v>555589.96463651245</c:v>
                </c:pt>
                <c:pt idx="27">
                  <c:v>555894.39749384753</c:v>
                </c:pt>
                <c:pt idx="28">
                  <c:v>556198.99716370716</c:v>
                </c:pt>
                <c:pt idx="29">
                  <c:v>556503.76373749552</c:v>
                </c:pt>
                <c:pt idx="30">
                  <c:v>556808.69730666676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D-46A5-BC1B-8002E529A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2099104"/>
        <c:axId val="1812099584"/>
      </c:barChart>
      <c:catAx>
        <c:axId val="1812099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099584"/>
        <c:crosses val="autoZero"/>
        <c:auto val="1"/>
        <c:lblAlgn val="ctr"/>
        <c:lblOffset val="100"/>
        <c:noMultiLvlLbl val="0"/>
      </c:catAx>
      <c:valAx>
        <c:axId val="18120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099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TREND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Revenue_and_expense_forecast!$H$2:$H$32</c:f>
              <c:numCache>
                <c:formatCode>"₹"\ #,##0.00</c:formatCode>
                <c:ptCount val="31"/>
                <c:pt idx="0">
                  <c:v>1938472.4721842376</c:v>
                </c:pt>
                <c:pt idx="1">
                  <c:v>1939113.1225397487</c:v>
                </c:pt>
                <c:pt idx="2">
                  <c:v>1939753.9510995143</c:v>
                </c:pt>
                <c:pt idx="3">
                  <c:v>1940394.957896509</c:v>
                </c:pt>
                <c:pt idx="4">
                  <c:v>1941036.1429637026</c:v>
                </c:pt>
                <c:pt idx="5">
                  <c:v>1941677.5063340594</c:v>
                </c:pt>
                <c:pt idx="6">
                  <c:v>1942319.0480405383</c:v>
                </c:pt>
                <c:pt idx="7">
                  <c:v>1942960.7681160918</c:v>
                </c:pt>
                <c:pt idx="8">
                  <c:v>1943602.6665936687</c:v>
                </c:pt>
                <c:pt idx="9">
                  <c:v>1944244.7435062111</c:v>
                </c:pt>
                <c:pt idx="10">
                  <c:v>1944886.9988866565</c:v>
                </c:pt>
                <c:pt idx="11">
                  <c:v>1945529.4327679365</c:v>
                </c:pt>
                <c:pt idx="12">
                  <c:v>1946172.0451829764</c:v>
                </c:pt>
                <c:pt idx="13">
                  <c:v>1946814.8361646964</c:v>
                </c:pt>
                <c:pt idx="14">
                  <c:v>1947457.8057460126</c:v>
                </c:pt>
                <c:pt idx="15">
                  <c:v>1948100.9539598345</c:v>
                </c:pt>
                <c:pt idx="16">
                  <c:v>1948744.2808390646</c:v>
                </c:pt>
                <c:pt idx="17">
                  <c:v>1949387.7864166033</c:v>
                </c:pt>
                <c:pt idx="18">
                  <c:v>1950031.4707253426</c:v>
                </c:pt>
                <c:pt idx="19">
                  <c:v>1950675.3337981696</c:v>
                </c:pt>
                <c:pt idx="20">
                  <c:v>1951319.3756679669</c:v>
                </c:pt>
                <c:pt idx="21">
                  <c:v>1951963.5963676102</c:v>
                </c:pt>
                <c:pt idx="22">
                  <c:v>1952607.9959299695</c:v>
                </c:pt>
                <c:pt idx="23">
                  <c:v>1953252.5743879098</c:v>
                </c:pt>
                <c:pt idx="24">
                  <c:v>1953897.3317742918</c:v>
                </c:pt>
                <c:pt idx="25">
                  <c:v>1954542.2681219683</c:v>
                </c:pt>
                <c:pt idx="26">
                  <c:v>1955187.3834637871</c:v>
                </c:pt>
                <c:pt idx="27">
                  <c:v>1955832.6778325918</c:v>
                </c:pt>
                <c:pt idx="28">
                  <c:v>1956478.1512612181</c:v>
                </c:pt>
                <c:pt idx="29">
                  <c:v>1957123.8037824971</c:v>
                </c:pt>
                <c:pt idx="30">
                  <c:v>1957769.6354292543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D-4FC3-A5F7-1BD3216A0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118416"/>
        <c:axId val="1182118896"/>
      </c:lineChart>
      <c:catAx>
        <c:axId val="1182118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Day</a:t>
                </a:r>
              </a:p>
            </c:rich>
          </c:tx>
          <c:layout>
            <c:manualLayout>
              <c:xMode val="edge"/>
              <c:yMode val="edge"/>
              <c:x val="0.45906124234470691"/>
              <c:y val="0.89050925925925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18896"/>
        <c:crosses val="autoZero"/>
        <c:auto val="1"/>
        <c:lblAlgn val="ctr"/>
        <c:lblOffset val="100"/>
        <c:noMultiLvlLbl val="0"/>
      </c:catAx>
      <c:valAx>
        <c:axId val="11821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1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185056</xdr:rowOff>
    </xdr:from>
    <xdr:to>
      <xdr:col>14</xdr:col>
      <xdr:colOff>468086</xdr:colOff>
      <xdr:row>18</xdr:row>
      <xdr:rowOff>10884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912125-1C24-4F4F-98FD-E021EF034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562840</xdr:colOff>
      <xdr:row>18</xdr:row>
      <xdr:rowOff>173182</xdr:rowOff>
    </xdr:from>
    <xdr:to>
      <xdr:col>14</xdr:col>
      <xdr:colOff>413904</xdr:colOff>
      <xdr:row>37</xdr:row>
      <xdr:rowOff>179532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D6ECCC-F2A8-4604-A8B7-F676FB5D4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402895</xdr:colOff>
      <xdr:row>0</xdr:row>
      <xdr:rowOff>166413</xdr:rowOff>
    </xdr:from>
    <xdr:to>
      <xdr:col>25</xdr:col>
      <xdr:colOff>8759</xdr:colOff>
      <xdr:row>17</xdr:row>
      <xdr:rowOff>183930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266F68-DF69-480F-AB0C-6ED2060D2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jesh Kushwaha" refreshedDate="46079.871656828705" createdVersion="8" refreshedVersion="8" minRefreshableVersion="3" recordCount="31" xr:uid="{B50A7264-1E3F-47B2-9BC0-39C84F5CE048}">
  <cacheSource type="worksheet">
    <worksheetSource name="Table2"/>
  </cacheSource>
  <cacheFields count="8">
    <cacheField name="Date" numFmtId="14">
      <sharedItems containsSemiMixedTypes="0" containsNonDate="0" containsDate="1" containsString="0" minDate="2024-05-01T00:00:00" maxDate="2024-06-01T00:00:00" count="31"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</sharedItems>
    </cacheField>
    <cacheField name="Units_Forecast" numFmtId="0">
      <sharedItems containsSemiMixedTypes="0" containsString="0" containsNumber="1" minValue="2195.6013698630136" maxValue="2213.7192819177553"/>
    </cacheField>
    <cacheField name="Price_Forecast" numFmtId="164">
      <sharedItems containsSemiMixedTypes="0" containsString="0" containsNumber="1" minValue="1247.1024931506852" maxValue="1250.1812079893059"/>
    </cacheField>
    <cacheField name="Revenue Forecast" numFmtId="164">
      <sharedItems containsSemiMixedTypes="0" containsString="0" containsNumber="1" minValue="2738139.9423212237" maxValue="2767550.246017158"/>
    </cacheField>
    <cacheField name="Fixed_Cost_forecast" numFmtId="164">
      <sharedItems containsSemiMixedTypes="0" containsString="0" containsNumber="1" minValue="251934.50684931505" maxValue="252971.91328123689"/>
    </cacheField>
    <cacheField name="Variable_Cost_forecast" numFmtId="164">
      <sharedItems containsSemiMixedTypes="0" containsString="0" containsNumber="1" minValue="547732.96328767121" maxValue="556808.69730666676"/>
    </cacheField>
    <cacheField name="Total_Cost_Forecast" numFmtId="164">
      <sharedItems containsSemiMixedTypes="0" containsString="0" containsNumber="1" minValue="799667.47013698623" maxValue="809780.61058790365"/>
    </cacheField>
    <cacheField name="Net profit Forecast" numFmtId="164">
      <sharedItems containsSemiMixedTypes="0" containsString="0" containsNumber="1" minValue="1938472.4721842376" maxValue="1957769.6354292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n v="2195.6013698630136"/>
    <n v="1247.1024931506852"/>
    <n v="2738139.9423212237"/>
    <n v="251934.50684931505"/>
    <n v="547732.96328767121"/>
    <n v="799667.47013698623"/>
    <n v="1938472.4721842376"/>
  </r>
  <r>
    <x v="1"/>
    <n v="2196.2029044848937"/>
    <n v="1247.2049947254648"/>
    <n v="2739115.2319041323"/>
    <n v="251969.01842559577"/>
    <n v="548033.09093878779"/>
    <n v="800002.10936438362"/>
    <n v="1939113.1225397487"/>
  </r>
  <r>
    <x v="2"/>
    <n v="2196.8046039107799"/>
    <n v="1247.3075047250313"/>
    <n v="2740090.8688724157"/>
    <n v="252003.53472948968"/>
    <n v="548333.38304341177"/>
    <n v="800336.91777290148"/>
    <n v="1939753.9510995143"/>
  </r>
  <r>
    <x v="3"/>
    <n v="2197.4064681858235"/>
    <n v="1247.4100231500774"/>
    <n v="2741066.8533498081"/>
    <n v="252038.05576164438"/>
    <n v="548633.83969165478"/>
    <n v="800671.89545329916"/>
    <n v="1940394.957896509"/>
  </r>
  <r>
    <x v="4"/>
    <n v="2198.0084973551893"/>
    <n v="1247.5125500012955"/>
    <n v="2742043.1854600878"/>
    <n v="252072.58152270762"/>
    <n v="548934.46097367769"/>
    <n v="801007.04249638529"/>
    <n v="1941036.1429637026"/>
  </r>
  <r>
    <x v="5"/>
    <n v="2198.6106914640536"/>
    <n v="1247.615085279378"/>
    <n v="2743019.8653270775"/>
    <n v="252107.11201332716"/>
    <n v="549235.24697969074"/>
    <n v="801342.35899301793"/>
    <n v="1941677.5063340594"/>
  </r>
  <r>
    <x v="6"/>
    <n v="2199.2130505576051"/>
    <n v="1247.7176289850177"/>
    <n v="2743996.8930746429"/>
    <n v="252141.64723415091"/>
    <n v="549536.19779995363"/>
    <n v="801677.84503410454"/>
    <n v="1942319.0480405383"/>
  </r>
  <r>
    <x v="7"/>
    <n v="2199.8155746810453"/>
    <n v="1247.8201811189069"/>
    <n v="2744974.2688266942"/>
    <n v="252176.1871858268"/>
    <n v="549837.31352477556"/>
    <n v="802013.50071060238"/>
    <n v="1942960.7681160918"/>
  </r>
  <r>
    <x v="8"/>
    <n v="2200.4182638795878"/>
    <n v="1247.9227416817387"/>
    <n v="2745951.9927071868"/>
    <n v="252210.73186900292"/>
    <n v="550138.59424451517"/>
    <n v="802349.32611351809"/>
    <n v="1943602.6665936687"/>
  </r>
  <r>
    <x v="9"/>
    <n v="2201.0211181984587"/>
    <n v="1248.0253106742059"/>
    <n v="2746930.0648401193"/>
    <n v="252245.28128432744"/>
    <n v="550440.04004958074"/>
    <n v="802685.32133390824"/>
    <n v="1944244.7435062111"/>
  </r>
  <r>
    <x v="10"/>
    <n v="2201.6241376828966"/>
    <n v="1248.1278880970012"/>
    <n v="2747908.485349535"/>
    <n v="252279.83543244857"/>
    <n v="550741.65103042987"/>
    <n v="803021.48646287841"/>
    <n v="1944886.9988866565"/>
  </r>
  <r>
    <x v="11"/>
    <n v="2202.2273223781522"/>
    <n v="1248.2304739508177"/>
    <n v="2748887.254359521"/>
    <n v="252314.39431401464"/>
    <n v="551043.42727756989"/>
    <n v="803357.82159158448"/>
    <n v="1945529.4327679365"/>
  </r>
  <r>
    <x v="12"/>
    <n v="2202.8306723294886"/>
    <n v="1248.333068236348"/>
    <n v="2749866.3719942081"/>
    <n v="252348.9579296741"/>
    <n v="551345.3688815576"/>
    <n v="803694.32681123167"/>
    <n v="1946172.0451829764"/>
  </r>
  <r>
    <x v="13"/>
    <n v="2203.4341875821815"/>
    <n v="1248.4356709542853"/>
    <n v="2750845.8383777714"/>
    <n v="252383.52628007543"/>
    <n v="551647.47593299963"/>
    <n v="804031.00221307506"/>
    <n v="1946814.8361646964"/>
  </r>
  <r>
    <x v="14"/>
    <n v="2204.0378681815191"/>
    <n v="1248.5382821053229"/>
    <n v="2751825.6536344318"/>
    <n v="252418.09936586721"/>
    <n v="551949.74852255196"/>
    <n v="804367.84788841917"/>
    <n v="1947457.8057460126"/>
  </r>
  <r>
    <x v="15"/>
    <n v="2204.6417141728016"/>
    <n v="1248.6409016901537"/>
    <n v="2752805.8178884531"/>
    <n v="252452.67718769814"/>
    <n v="552252.18674092053"/>
    <n v="804704.86392861861"/>
    <n v="1948100.9539598345"/>
  </r>
  <r>
    <x v="16"/>
    <n v="2205.2457256013417"/>
    <n v="1248.7435297094707"/>
    <n v="2753786.3312641424"/>
    <n v="252487.25974621699"/>
    <n v="552554.79067886085"/>
    <n v="805042.05042507779"/>
    <n v="1948744.2808390646"/>
  </r>
  <r>
    <x v="17"/>
    <n v="2205.8499025124652"/>
    <n v="1248.8461661639676"/>
    <n v="2754767.193885854"/>
    <n v="252521.84704207262"/>
    <n v="552857.56042717805"/>
    <n v="805379.40746925073"/>
    <n v="1949387.7864166033"/>
  </r>
  <r>
    <x v="18"/>
    <n v="2206.4542449515097"/>
    <n v="1248.9488110543373"/>
    <n v="2755748.4058779837"/>
    <n v="252556.43907591398"/>
    <n v="553160.49607672717"/>
    <n v="805716.93515264115"/>
    <n v="1950031.4707253426"/>
  </r>
  <r>
    <x v="19"/>
    <n v="2207.0587529638251"/>
    <n v="1249.0514643812735"/>
    <n v="2756729.9673649729"/>
    <n v="252591.03584839011"/>
    <n v="553463.5977184131"/>
    <n v="806054.63356680318"/>
    <n v="1950675.3337981696"/>
  </r>
  <r>
    <x v="20"/>
    <n v="2207.6634265947741"/>
    <n v="1249.1541261454693"/>
    <n v="2757711.8784713075"/>
    <n v="252625.63736015014"/>
    <n v="553766.86544319033"/>
    <n v="806392.50280334044"/>
    <n v="1951319.3756679669"/>
  </r>
  <r>
    <x v="21"/>
    <n v="2208.2682658897315"/>
    <n v="1249.2567963476183"/>
    <n v="2758694.1393215167"/>
    <n v="252660.2436118433"/>
    <n v="554070.29934206337"/>
    <n v="806730.5429539067"/>
    <n v="1951963.5963676102"/>
  </r>
  <r>
    <x v="22"/>
    <n v="2208.8732708940847"/>
    <n v="1249.3594749884141"/>
    <n v="2759676.7500401749"/>
    <n v="252694.85460411888"/>
    <n v="554373.89950608648"/>
    <n v="807068.75411020534"/>
    <n v="1952607.9959299695"/>
  </r>
  <r>
    <x v="23"/>
    <n v="2209.4784416532334"/>
    <n v="1249.4621620685502"/>
    <n v="2760659.7107519"/>
    <n v="252729.47033762629"/>
    <n v="554677.66602636385"/>
    <n v="807407.13636399014"/>
    <n v="1953252.5743879098"/>
  </r>
  <r>
    <x v="24"/>
    <n v="2210.0837782125905"/>
    <n v="1249.5648575887203"/>
    <n v="2761643.0215813564"/>
    <n v="252764.09081301501"/>
    <n v="554981.59899404959"/>
    <n v="807745.6898070646"/>
    <n v="1953897.3317742918"/>
  </r>
  <r>
    <x v="25"/>
    <n v="2210.6892806175802"/>
    <n v="1249.6675615496181"/>
    <n v="2762626.6826532506"/>
    <n v="252798.71603093459"/>
    <n v="555285.69850034779"/>
    <n v="808084.41453128238"/>
    <n v="1954542.2681219683"/>
  </r>
  <r>
    <x v="26"/>
    <n v="2211.2949489136395"/>
    <n v="1249.7702739519373"/>
    <n v="2763610.6940923342"/>
    <n v="252833.34599203471"/>
    <n v="555589.96463651245"/>
    <n v="808423.3106285471"/>
    <n v="1955187.3834637871"/>
  </r>
  <r>
    <x v="27"/>
    <n v="2211.9007831462186"/>
    <n v="1249.8729947963718"/>
    <n v="2764595.0560234045"/>
    <n v="252867.98069696513"/>
    <n v="555894.39749384753"/>
    <n v="808762.37819081265"/>
    <n v="1955832.6778325918"/>
  </r>
  <r>
    <x v="28"/>
    <n v="2212.5067833607791"/>
    <n v="1249.9757240836154"/>
    <n v="2765579.7685713009"/>
    <n v="252902.62014637564"/>
    <n v="556198.99716370716"/>
    <n v="809101.61731008277"/>
    <n v="1956478.1512612181"/>
  </r>
  <r>
    <x v="29"/>
    <n v="2213.1129496027957"/>
    <n v="1250.0784618143621"/>
    <n v="2766564.8318609088"/>
    <n v="252937.26434091624"/>
    <n v="556503.76373749552"/>
    <n v="809441.02807841171"/>
    <n v="1957123.8037824971"/>
  </r>
  <r>
    <x v="30"/>
    <n v="2213.7192819177553"/>
    <n v="1250.1812079893059"/>
    <n v="2767550.246017158"/>
    <n v="252971.91328123689"/>
    <n v="556808.69730666676"/>
    <n v="809780.61058790365"/>
    <n v="1957769.63542925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53513-B702-49BF-A10A-B4B7196A5C3B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F35" firstHeaderRow="0" firstDataRow="1" firstDataCol="1"/>
  <pivotFields count="8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164" showAll="0"/>
    <pivotField dataField="1" numFmtId="164" showAll="0"/>
    <pivotField numFmtId="164" showAll="0"/>
    <pivotField numFmtId="164" showAll="0"/>
    <pivotField dataField="1" numFmtId="164" showAll="0"/>
    <pivotField dataField="1" numFmtId="164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 Forecast" fld="3" baseField="0" baseItem="0" numFmtId="164"/>
    <dataField name="Sum of Total_Cost_Forecast" fld="6" baseField="0" baseItem="0" numFmtId="164"/>
    <dataField name="Sum of Net profit Forecast" fld="7" baseField="0" baseItem="0" numFmtId="164"/>
  </dataFields>
  <formats count="5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9918F-0A02-4FC0-BBDB-7F7A61113B85}" name="Table1" displayName="Table1" ref="A1:F122" totalsRowShown="0" headerRowDxfId="17">
  <autoFilter ref="A1:F122" xr:uid="{2C89918F-0A02-4FC0-BBDB-7F7A61113B85}"/>
  <tableColumns count="6">
    <tableColumn id="1" xr3:uid="{87666C26-B689-42EA-9DDD-61EA7ADF4930}" name="Date" dataDxfId="16"/>
    <tableColumn id="2" xr3:uid="{4407522B-C735-4987-971D-DE821D593362}" name="Units_Sold"/>
    <tableColumn id="3" xr3:uid="{93B8F4A8-2A73-4E8B-8885-3BB3FD11345F}" name="Price_per_Unit"/>
    <tableColumn id="4" xr3:uid="{853B2428-4BF6-4BAE-B94E-26EC9F8BF99D}" name="Revenue"/>
    <tableColumn id="5" xr3:uid="{3B97E4F2-CE90-4C7A-A045-A664F4071AC5}" name="Fixed_Cost"/>
    <tableColumn id="6" xr3:uid="{2146C062-FB56-471F-A481-915E6999A6FC}" name="Variable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CB89E-A484-4035-A191-4D9EC159D6B3}" name="Table2" displayName="Table2" ref="A1:H32" totalsRowShown="0" headerRowDxfId="10" dataDxfId="9" tableBorderDxfId="8">
  <autoFilter ref="A1:H32" xr:uid="{D66CB89E-A484-4035-A191-4D9EC159D6B3}"/>
  <tableColumns count="8">
    <tableColumn id="1" xr3:uid="{7AF0FE2E-69A6-427A-8C4F-AA3F44F557CA}" name="Date" dataDxfId="7">
      <calculatedColumnFormula>A1+1</calculatedColumnFormula>
    </tableColumn>
    <tableColumn id="2" xr3:uid="{AF30E04E-A131-4BF6-9F65-B38C981C97F0}" name="Units_Forecast" dataDxfId="6">
      <calculatedColumnFormula>B1*(1+Assumptions!$B$7/365)</calculatedColumnFormula>
    </tableColumn>
    <tableColumn id="3" xr3:uid="{E4C39D76-D4B8-473B-97CF-8CB1BBC0DB4E}" name="Price_Forecast" dataDxfId="5">
      <calculatedColumnFormula>C1*(1+Assumptions!$B$2/365)</calculatedColumnFormula>
    </tableColumn>
    <tableColumn id="4" xr3:uid="{C440456D-B009-473D-9C1A-DD5809766C60}" name="Revenue Forecast" dataDxfId="4">
      <calculatedColumnFormula>B2*C2</calculatedColumnFormula>
    </tableColumn>
    <tableColumn id="5" xr3:uid="{419417F2-034B-451A-8254-2C144D744C70}" name="Fixed_Cost_forecast" dataDxfId="3">
      <calculatedColumnFormula>E1*(1+Assumptions!$B$3/365)</calculatedColumnFormula>
    </tableColumn>
    <tableColumn id="6" xr3:uid="{3FDCDC94-443F-4368-B0E8-066C1C44B6E7}" name="Variable_Cost_forecast" dataDxfId="2">
      <calculatedColumnFormula>F1*(1+Assumptions!$B$4/365)</calculatedColumnFormula>
    </tableColumn>
    <tableColumn id="7" xr3:uid="{9E3D6601-C81D-420D-9833-06CB723B7938}" name="Total_Cost_Forecast" dataDxfId="1">
      <calculatedColumnFormula>E2+F2</calculatedColumnFormula>
    </tableColumn>
    <tableColumn id="8" xr3:uid="{AC5AE89E-91CC-4CA1-9084-D5BAB941B449}" name="Net profit Forecast" dataDxfId="0">
      <calculatedColumnFormula>D2-G2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FB46-D638-47DF-B0C6-7A8DCE415682}">
  <dimension ref="A1:F124"/>
  <sheetViews>
    <sheetView workbookViewId="0">
      <selection activeCell="L12" sqref="L12"/>
    </sheetView>
  </sheetViews>
  <sheetFormatPr defaultRowHeight="14.4" x14ac:dyDescent="0.3"/>
  <cols>
    <col min="1" max="1" width="14.88671875" customWidth="1"/>
    <col min="2" max="2" width="14.77734375" customWidth="1"/>
    <col min="3" max="3" width="18.21875" customWidth="1"/>
    <col min="4" max="4" width="12.33203125" customWidth="1"/>
    <col min="5" max="6" width="14.44140625" customWidth="1"/>
  </cols>
  <sheetData>
    <row r="1" spans="1:6" x14ac:dyDescent="0.3">
      <c r="A1" s="2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1">
        <v>45292</v>
      </c>
      <c r="B2">
        <v>800</v>
      </c>
      <c r="C2">
        <v>1200</v>
      </c>
      <c r="D2">
        <v>960000</v>
      </c>
      <c r="E2">
        <v>250000</v>
      </c>
      <c r="F2">
        <v>192000</v>
      </c>
    </row>
    <row r="3" spans="1:6" x14ac:dyDescent="0.3">
      <c r="A3" s="1">
        <v>45293</v>
      </c>
      <c r="B3">
        <v>812</v>
      </c>
      <c r="C3">
        <v>1200</v>
      </c>
      <c r="D3">
        <v>974400</v>
      </c>
      <c r="E3">
        <v>250020</v>
      </c>
      <c r="F3">
        <v>194880</v>
      </c>
    </row>
    <row r="4" spans="1:6" x14ac:dyDescent="0.3">
      <c r="A4" s="1">
        <v>45294</v>
      </c>
      <c r="B4">
        <v>795</v>
      </c>
      <c r="C4">
        <v>1201</v>
      </c>
      <c r="D4">
        <v>954795</v>
      </c>
      <c r="E4">
        <v>250040</v>
      </c>
      <c r="F4">
        <v>190959</v>
      </c>
    </row>
    <row r="5" spans="1:6" x14ac:dyDescent="0.3">
      <c r="A5" s="1">
        <v>45295</v>
      </c>
      <c r="B5">
        <v>830</v>
      </c>
      <c r="C5">
        <v>1201</v>
      </c>
      <c r="D5">
        <v>996830</v>
      </c>
      <c r="E5">
        <v>250060</v>
      </c>
      <c r="F5">
        <v>199366</v>
      </c>
    </row>
    <row r="6" spans="1:6" x14ac:dyDescent="0.3">
      <c r="A6" s="1">
        <v>45296</v>
      </c>
      <c r="B6">
        <v>845</v>
      </c>
      <c r="C6">
        <v>1202</v>
      </c>
      <c r="D6">
        <v>1015690</v>
      </c>
      <c r="E6">
        <v>250080</v>
      </c>
      <c r="F6">
        <v>203138</v>
      </c>
    </row>
    <row r="7" spans="1:6" x14ac:dyDescent="0.3">
      <c r="A7" s="1">
        <v>45297</v>
      </c>
      <c r="B7">
        <v>820</v>
      </c>
      <c r="C7">
        <v>1202</v>
      </c>
      <c r="D7">
        <v>985640</v>
      </c>
      <c r="E7">
        <v>250100</v>
      </c>
      <c r="F7">
        <v>197128</v>
      </c>
    </row>
    <row r="8" spans="1:6" x14ac:dyDescent="0.3">
      <c r="A8" s="1">
        <v>45298</v>
      </c>
      <c r="B8">
        <v>860</v>
      </c>
      <c r="C8">
        <v>1203</v>
      </c>
      <c r="D8">
        <v>1034580</v>
      </c>
      <c r="E8">
        <v>250120</v>
      </c>
      <c r="F8">
        <v>206916</v>
      </c>
    </row>
    <row r="9" spans="1:6" x14ac:dyDescent="0.3">
      <c r="A9" s="1">
        <v>45299</v>
      </c>
      <c r="B9">
        <v>875</v>
      </c>
      <c r="C9">
        <v>1203</v>
      </c>
      <c r="D9">
        <v>1052625</v>
      </c>
      <c r="E9">
        <v>250140</v>
      </c>
      <c r="F9">
        <v>210525</v>
      </c>
    </row>
    <row r="10" spans="1:6" x14ac:dyDescent="0.3">
      <c r="A10" s="1">
        <v>45300</v>
      </c>
      <c r="B10">
        <v>890</v>
      </c>
      <c r="C10">
        <v>1204</v>
      </c>
      <c r="D10">
        <v>1071560</v>
      </c>
      <c r="E10">
        <v>250160</v>
      </c>
      <c r="F10">
        <v>214312</v>
      </c>
    </row>
    <row r="11" spans="1:6" x14ac:dyDescent="0.3">
      <c r="A11" s="1">
        <v>45301</v>
      </c>
      <c r="B11">
        <v>905</v>
      </c>
      <c r="C11">
        <v>1204</v>
      </c>
      <c r="D11">
        <v>1089620</v>
      </c>
      <c r="E11">
        <v>250180</v>
      </c>
      <c r="F11">
        <v>217924</v>
      </c>
    </row>
    <row r="12" spans="1:6" x14ac:dyDescent="0.3">
      <c r="A12" s="1">
        <v>45302</v>
      </c>
      <c r="B12">
        <v>920</v>
      </c>
      <c r="C12">
        <v>1205</v>
      </c>
      <c r="D12">
        <v>1108600</v>
      </c>
      <c r="E12">
        <v>250200</v>
      </c>
      <c r="F12">
        <v>221720</v>
      </c>
    </row>
    <row r="13" spans="1:6" x14ac:dyDescent="0.3">
      <c r="A13" s="1">
        <v>45303</v>
      </c>
      <c r="B13">
        <v>935</v>
      </c>
      <c r="C13">
        <v>1205</v>
      </c>
      <c r="D13">
        <v>1126675</v>
      </c>
      <c r="E13">
        <v>250220</v>
      </c>
      <c r="F13">
        <v>225335</v>
      </c>
    </row>
    <row r="14" spans="1:6" x14ac:dyDescent="0.3">
      <c r="A14" s="1">
        <v>45304</v>
      </c>
      <c r="B14">
        <v>950</v>
      </c>
      <c r="C14">
        <v>1206</v>
      </c>
      <c r="D14">
        <v>1145700</v>
      </c>
      <c r="E14">
        <v>250240</v>
      </c>
      <c r="F14">
        <v>229140</v>
      </c>
    </row>
    <row r="15" spans="1:6" x14ac:dyDescent="0.3">
      <c r="A15" s="1">
        <v>45305</v>
      </c>
      <c r="B15">
        <v>965</v>
      </c>
      <c r="C15">
        <v>1206</v>
      </c>
      <c r="D15">
        <v>1163790</v>
      </c>
      <c r="E15">
        <v>250260</v>
      </c>
      <c r="F15">
        <v>232758</v>
      </c>
    </row>
    <row r="16" spans="1:6" x14ac:dyDescent="0.3">
      <c r="A16" s="1">
        <v>45306</v>
      </c>
      <c r="B16">
        <v>980</v>
      </c>
      <c r="C16">
        <v>1207</v>
      </c>
      <c r="D16">
        <v>1182860</v>
      </c>
      <c r="E16">
        <v>250280</v>
      </c>
      <c r="F16">
        <v>236572</v>
      </c>
    </row>
    <row r="17" spans="1:6" x14ac:dyDescent="0.3">
      <c r="A17" s="1">
        <v>45307</v>
      </c>
      <c r="B17">
        <v>995</v>
      </c>
      <c r="C17">
        <v>1207</v>
      </c>
      <c r="D17">
        <v>1200965</v>
      </c>
      <c r="E17">
        <v>250300</v>
      </c>
      <c r="F17">
        <v>240193</v>
      </c>
    </row>
    <row r="18" spans="1:6" x14ac:dyDescent="0.3">
      <c r="A18" s="1">
        <v>45308</v>
      </c>
      <c r="B18">
        <v>1010</v>
      </c>
      <c r="C18">
        <v>1208</v>
      </c>
      <c r="D18">
        <v>1220080</v>
      </c>
      <c r="E18">
        <v>250320</v>
      </c>
      <c r="F18">
        <v>244016</v>
      </c>
    </row>
    <row r="19" spans="1:6" x14ac:dyDescent="0.3">
      <c r="A19" s="1">
        <v>45309</v>
      </c>
      <c r="B19">
        <v>1025</v>
      </c>
      <c r="C19">
        <v>1208</v>
      </c>
      <c r="D19">
        <v>1238200</v>
      </c>
      <c r="E19">
        <v>250340</v>
      </c>
      <c r="F19">
        <v>247640</v>
      </c>
    </row>
    <row r="20" spans="1:6" x14ac:dyDescent="0.3">
      <c r="A20" s="1">
        <v>45310</v>
      </c>
      <c r="B20">
        <v>1040</v>
      </c>
      <c r="C20">
        <v>1209</v>
      </c>
      <c r="D20">
        <v>1257360</v>
      </c>
      <c r="E20">
        <v>250360</v>
      </c>
      <c r="F20">
        <v>251472</v>
      </c>
    </row>
    <row r="21" spans="1:6" x14ac:dyDescent="0.3">
      <c r="A21" s="1">
        <v>45311</v>
      </c>
      <c r="B21">
        <v>1055</v>
      </c>
      <c r="C21">
        <v>1209</v>
      </c>
      <c r="D21">
        <v>1275495</v>
      </c>
      <c r="E21">
        <v>250380</v>
      </c>
      <c r="F21">
        <v>255099</v>
      </c>
    </row>
    <row r="22" spans="1:6" x14ac:dyDescent="0.3">
      <c r="A22" s="1">
        <v>45312</v>
      </c>
      <c r="B22">
        <v>1070</v>
      </c>
      <c r="C22">
        <v>1210</v>
      </c>
      <c r="D22">
        <v>1294700</v>
      </c>
      <c r="E22">
        <v>250400</v>
      </c>
      <c r="F22">
        <v>258940</v>
      </c>
    </row>
    <row r="23" spans="1:6" x14ac:dyDescent="0.3">
      <c r="A23" s="1">
        <v>45313</v>
      </c>
      <c r="B23">
        <v>1085</v>
      </c>
      <c r="C23">
        <v>1210</v>
      </c>
      <c r="D23">
        <v>1312850</v>
      </c>
      <c r="E23">
        <v>250420</v>
      </c>
      <c r="F23">
        <v>262570</v>
      </c>
    </row>
    <row r="24" spans="1:6" x14ac:dyDescent="0.3">
      <c r="A24" s="1">
        <v>45314</v>
      </c>
      <c r="B24">
        <v>1100</v>
      </c>
      <c r="C24">
        <v>1211</v>
      </c>
      <c r="D24">
        <v>1332100</v>
      </c>
      <c r="E24">
        <v>250440</v>
      </c>
      <c r="F24">
        <v>266420</v>
      </c>
    </row>
    <row r="25" spans="1:6" x14ac:dyDescent="0.3">
      <c r="A25" s="1">
        <v>45315</v>
      </c>
      <c r="B25">
        <v>1115</v>
      </c>
      <c r="C25">
        <v>1211</v>
      </c>
      <c r="D25">
        <v>1350265</v>
      </c>
      <c r="E25">
        <v>250460</v>
      </c>
      <c r="F25">
        <v>270053</v>
      </c>
    </row>
    <row r="26" spans="1:6" x14ac:dyDescent="0.3">
      <c r="A26" s="1">
        <v>45316</v>
      </c>
      <c r="B26">
        <v>1130</v>
      </c>
      <c r="C26">
        <v>1212</v>
      </c>
      <c r="D26">
        <v>1369560</v>
      </c>
      <c r="E26">
        <v>250480</v>
      </c>
      <c r="F26">
        <v>273912</v>
      </c>
    </row>
    <row r="27" spans="1:6" x14ac:dyDescent="0.3">
      <c r="A27" s="1">
        <v>45317</v>
      </c>
      <c r="B27">
        <v>1145</v>
      </c>
      <c r="C27">
        <v>1212</v>
      </c>
      <c r="D27">
        <v>1387740</v>
      </c>
      <c r="E27">
        <v>250500</v>
      </c>
      <c r="F27">
        <v>277548</v>
      </c>
    </row>
    <row r="28" spans="1:6" x14ac:dyDescent="0.3">
      <c r="A28" s="1">
        <v>45318</v>
      </c>
      <c r="B28">
        <v>1160</v>
      </c>
      <c r="C28">
        <v>1213</v>
      </c>
      <c r="D28">
        <v>1407080</v>
      </c>
      <c r="E28">
        <v>250520</v>
      </c>
      <c r="F28">
        <v>281416</v>
      </c>
    </row>
    <row r="29" spans="1:6" x14ac:dyDescent="0.3">
      <c r="A29" s="1">
        <v>45319</v>
      </c>
      <c r="B29">
        <v>1175</v>
      </c>
      <c r="C29">
        <v>1213</v>
      </c>
      <c r="D29">
        <v>1425275</v>
      </c>
      <c r="E29">
        <v>250540</v>
      </c>
      <c r="F29">
        <v>285055</v>
      </c>
    </row>
    <row r="30" spans="1:6" x14ac:dyDescent="0.3">
      <c r="A30" s="1">
        <v>45320</v>
      </c>
      <c r="B30">
        <v>1190</v>
      </c>
      <c r="C30">
        <v>1214</v>
      </c>
      <c r="D30">
        <v>1444660</v>
      </c>
      <c r="E30">
        <v>250560</v>
      </c>
      <c r="F30">
        <v>288932</v>
      </c>
    </row>
    <row r="31" spans="1:6" x14ac:dyDescent="0.3">
      <c r="A31" s="1">
        <v>45321</v>
      </c>
      <c r="B31">
        <v>1205</v>
      </c>
      <c r="C31">
        <v>1214</v>
      </c>
      <c r="D31">
        <v>1462870</v>
      </c>
      <c r="E31">
        <v>250580</v>
      </c>
      <c r="F31">
        <v>292574</v>
      </c>
    </row>
    <row r="32" spans="1:6" x14ac:dyDescent="0.3">
      <c r="A32" s="1">
        <v>45322</v>
      </c>
      <c r="B32">
        <v>1220</v>
      </c>
      <c r="C32">
        <v>1215</v>
      </c>
      <c r="D32">
        <v>1482300</v>
      </c>
      <c r="E32">
        <v>250600</v>
      </c>
      <c r="F32">
        <v>296460</v>
      </c>
    </row>
    <row r="33" spans="1:6" x14ac:dyDescent="0.3">
      <c r="A33" s="1">
        <v>45323</v>
      </c>
      <c r="B33">
        <v>1235</v>
      </c>
      <c r="C33">
        <v>1215</v>
      </c>
      <c r="D33">
        <v>1500525</v>
      </c>
      <c r="E33">
        <v>250620</v>
      </c>
      <c r="F33">
        <v>300105</v>
      </c>
    </row>
    <row r="34" spans="1:6" x14ac:dyDescent="0.3">
      <c r="A34" s="1">
        <v>45324</v>
      </c>
      <c r="B34">
        <v>1250</v>
      </c>
      <c r="C34">
        <v>1216</v>
      </c>
      <c r="D34">
        <v>1520000</v>
      </c>
      <c r="E34">
        <v>250640</v>
      </c>
      <c r="F34">
        <v>304000</v>
      </c>
    </row>
    <row r="35" spans="1:6" x14ac:dyDescent="0.3">
      <c r="A35" s="1">
        <v>45325</v>
      </c>
      <c r="B35">
        <v>1265</v>
      </c>
      <c r="C35">
        <v>1216</v>
      </c>
      <c r="D35">
        <v>1538240</v>
      </c>
      <c r="E35">
        <v>250660</v>
      </c>
      <c r="F35">
        <v>307648</v>
      </c>
    </row>
    <row r="36" spans="1:6" x14ac:dyDescent="0.3">
      <c r="A36" s="1">
        <v>45326</v>
      </c>
      <c r="B36">
        <v>1280</v>
      </c>
      <c r="C36">
        <v>1217</v>
      </c>
      <c r="D36">
        <v>1557760</v>
      </c>
      <c r="E36">
        <v>250680</v>
      </c>
      <c r="F36">
        <v>311552</v>
      </c>
    </row>
    <row r="37" spans="1:6" x14ac:dyDescent="0.3">
      <c r="A37" s="1">
        <v>45327</v>
      </c>
      <c r="B37">
        <v>1295</v>
      </c>
      <c r="C37">
        <v>1217</v>
      </c>
      <c r="D37">
        <v>1576015</v>
      </c>
      <c r="E37">
        <v>250700</v>
      </c>
      <c r="F37">
        <v>315203</v>
      </c>
    </row>
    <row r="38" spans="1:6" x14ac:dyDescent="0.3">
      <c r="A38" s="1">
        <v>45328</v>
      </c>
      <c r="B38">
        <v>1310</v>
      </c>
      <c r="C38">
        <v>1218</v>
      </c>
      <c r="D38">
        <v>1595580</v>
      </c>
      <c r="E38">
        <v>250720</v>
      </c>
      <c r="F38">
        <v>319116</v>
      </c>
    </row>
    <row r="39" spans="1:6" x14ac:dyDescent="0.3">
      <c r="A39" s="1">
        <v>45329</v>
      </c>
      <c r="B39">
        <v>1325</v>
      </c>
      <c r="C39">
        <v>1218</v>
      </c>
      <c r="D39">
        <v>1613850</v>
      </c>
      <c r="E39">
        <v>250740</v>
      </c>
      <c r="F39">
        <v>322770</v>
      </c>
    </row>
    <row r="40" spans="1:6" x14ac:dyDescent="0.3">
      <c r="A40" s="1">
        <v>45330</v>
      </c>
      <c r="B40">
        <v>1340</v>
      </c>
      <c r="C40">
        <v>1219</v>
      </c>
      <c r="D40">
        <v>1633460</v>
      </c>
      <c r="E40">
        <v>250760</v>
      </c>
      <c r="F40">
        <v>326692</v>
      </c>
    </row>
    <row r="41" spans="1:6" x14ac:dyDescent="0.3">
      <c r="A41" s="1">
        <v>45331</v>
      </c>
      <c r="B41">
        <v>1355</v>
      </c>
      <c r="C41">
        <v>1219</v>
      </c>
      <c r="D41">
        <v>1651745</v>
      </c>
      <c r="E41">
        <v>250780</v>
      </c>
      <c r="F41">
        <v>330349</v>
      </c>
    </row>
    <row r="42" spans="1:6" x14ac:dyDescent="0.3">
      <c r="A42" s="1">
        <v>45332</v>
      </c>
      <c r="B42">
        <v>1370</v>
      </c>
      <c r="C42">
        <v>1220</v>
      </c>
      <c r="D42">
        <v>1671400</v>
      </c>
      <c r="E42">
        <v>250800</v>
      </c>
      <c r="F42">
        <v>334280</v>
      </c>
    </row>
    <row r="43" spans="1:6" x14ac:dyDescent="0.3">
      <c r="A43" s="1">
        <v>45333</v>
      </c>
      <c r="B43">
        <v>1385</v>
      </c>
      <c r="C43">
        <v>1220</v>
      </c>
      <c r="D43">
        <v>1689700</v>
      </c>
      <c r="E43">
        <v>250820</v>
      </c>
      <c r="F43">
        <v>337940</v>
      </c>
    </row>
    <row r="44" spans="1:6" x14ac:dyDescent="0.3">
      <c r="A44" s="1">
        <v>45334</v>
      </c>
      <c r="B44">
        <v>1400</v>
      </c>
      <c r="C44">
        <v>1221</v>
      </c>
      <c r="D44">
        <v>1709400</v>
      </c>
      <c r="E44">
        <v>250840</v>
      </c>
      <c r="F44">
        <v>341880</v>
      </c>
    </row>
    <row r="45" spans="1:6" x14ac:dyDescent="0.3">
      <c r="A45" s="1">
        <v>45335</v>
      </c>
      <c r="B45">
        <v>1415</v>
      </c>
      <c r="C45">
        <v>1221</v>
      </c>
      <c r="D45">
        <v>1727715</v>
      </c>
      <c r="E45">
        <v>250860</v>
      </c>
      <c r="F45">
        <v>345543</v>
      </c>
    </row>
    <row r="46" spans="1:6" x14ac:dyDescent="0.3">
      <c r="A46" s="1">
        <v>45336</v>
      </c>
      <c r="B46">
        <v>1430</v>
      </c>
      <c r="C46">
        <v>1222</v>
      </c>
      <c r="D46">
        <v>1747460</v>
      </c>
      <c r="E46">
        <v>250880</v>
      </c>
      <c r="F46">
        <v>349492</v>
      </c>
    </row>
    <row r="47" spans="1:6" x14ac:dyDescent="0.3">
      <c r="A47" s="1">
        <v>45337</v>
      </c>
      <c r="B47">
        <v>1445</v>
      </c>
      <c r="C47">
        <v>1222</v>
      </c>
      <c r="D47">
        <v>1765790</v>
      </c>
      <c r="E47">
        <v>250900</v>
      </c>
      <c r="F47">
        <v>353158</v>
      </c>
    </row>
    <row r="48" spans="1:6" x14ac:dyDescent="0.3">
      <c r="A48" s="1">
        <v>45338</v>
      </c>
      <c r="B48">
        <v>1460</v>
      </c>
      <c r="C48">
        <v>1223</v>
      </c>
      <c r="D48">
        <v>1785580</v>
      </c>
      <c r="E48">
        <v>250920</v>
      </c>
      <c r="F48">
        <v>357116</v>
      </c>
    </row>
    <row r="49" spans="1:6" x14ac:dyDescent="0.3">
      <c r="A49" s="1">
        <v>45339</v>
      </c>
      <c r="B49">
        <v>1475</v>
      </c>
      <c r="C49">
        <v>1223</v>
      </c>
      <c r="D49">
        <v>1803925</v>
      </c>
      <c r="E49">
        <v>250940</v>
      </c>
      <c r="F49">
        <v>360785</v>
      </c>
    </row>
    <row r="50" spans="1:6" x14ac:dyDescent="0.3">
      <c r="A50" s="1">
        <v>45340</v>
      </c>
      <c r="B50">
        <v>1490</v>
      </c>
      <c r="C50">
        <v>1224</v>
      </c>
      <c r="D50">
        <v>1823760</v>
      </c>
      <c r="E50">
        <v>250960</v>
      </c>
      <c r="F50">
        <v>364752</v>
      </c>
    </row>
    <row r="51" spans="1:6" x14ac:dyDescent="0.3">
      <c r="A51" s="1">
        <v>45341</v>
      </c>
      <c r="B51">
        <v>1505</v>
      </c>
      <c r="C51">
        <v>1224</v>
      </c>
      <c r="D51">
        <v>1842120</v>
      </c>
      <c r="E51">
        <v>250980</v>
      </c>
      <c r="F51">
        <v>368424</v>
      </c>
    </row>
    <row r="52" spans="1:6" x14ac:dyDescent="0.3">
      <c r="A52" s="1">
        <v>45342</v>
      </c>
      <c r="B52">
        <v>1520</v>
      </c>
      <c r="C52">
        <v>1225</v>
      </c>
      <c r="D52">
        <v>1862000</v>
      </c>
      <c r="E52">
        <v>251000</v>
      </c>
      <c r="F52">
        <v>372400</v>
      </c>
    </row>
    <row r="53" spans="1:6" x14ac:dyDescent="0.3">
      <c r="A53" s="1">
        <v>45343</v>
      </c>
      <c r="B53">
        <v>1535</v>
      </c>
      <c r="C53">
        <v>1225</v>
      </c>
      <c r="D53">
        <v>1880375</v>
      </c>
      <c r="E53">
        <v>251020</v>
      </c>
      <c r="F53">
        <v>376075</v>
      </c>
    </row>
    <row r="54" spans="1:6" x14ac:dyDescent="0.3">
      <c r="A54" s="1">
        <v>45344</v>
      </c>
      <c r="B54">
        <v>1550</v>
      </c>
      <c r="C54">
        <v>1226</v>
      </c>
      <c r="D54">
        <v>1900300</v>
      </c>
      <c r="E54">
        <v>251040</v>
      </c>
      <c r="F54">
        <v>380060</v>
      </c>
    </row>
    <row r="55" spans="1:6" x14ac:dyDescent="0.3">
      <c r="A55" s="1">
        <v>45345</v>
      </c>
      <c r="B55">
        <v>1565</v>
      </c>
      <c r="C55">
        <v>1226</v>
      </c>
      <c r="D55">
        <v>1918690</v>
      </c>
      <c r="E55">
        <v>251060</v>
      </c>
      <c r="F55">
        <v>383738</v>
      </c>
    </row>
    <row r="56" spans="1:6" x14ac:dyDescent="0.3">
      <c r="A56" s="1">
        <v>45346</v>
      </c>
      <c r="B56">
        <v>1580</v>
      </c>
      <c r="C56">
        <v>1227</v>
      </c>
      <c r="D56">
        <v>1938660</v>
      </c>
      <c r="E56">
        <v>251080</v>
      </c>
      <c r="F56">
        <v>387732</v>
      </c>
    </row>
    <row r="57" spans="1:6" x14ac:dyDescent="0.3">
      <c r="A57" s="1">
        <v>45347</v>
      </c>
      <c r="B57">
        <v>1595</v>
      </c>
      <c r="C57">
        <v>1227</v>
      </c>
      <c r="D57">
        <v>1957065</v>
      </c>
      <c r="E57">
        <v>251100</v>
      </c>
      <c r="F57">
        <v>391413</v>
      </c>
    </row>
    <row r="58" spans="1:6" x14ac:dyDescent="0.3">
      <c r="A58" s="1">
        <v>45348</v>
      </c>
      <c r="B58">
        <v>1610</v>
      </c>
      <c r="C58">
        <v>1228</v>
      </c>
      <c r="D58">
        <v>1977080</v>
      </c>
      <c r="E58">
        <v>251120</v>
      </c>
      <c r="F58">
        <v>395416</v>
      </c>
    </row>
    <row r="59" spans="1:6" x14ac:dyDescent="0.3">
      <c r="A59" s="1">
        <v>45349</v>
      </c>
      <c r="B59">
        <v>1625</v>
      </c>
      <c r="C59">
        <v>1228</v>
      </c>
      <c r="D59">
        <v>1995500</v>
      </c>
      <c r="E59">
        <v>251140</v>
      </c>
      <c r="F59">
        <v>399100</v>
      </c>
    </row>
    <row r="60" spans="1:6" x14ac:dyDescent="0.3">
      <c r="A60" s="1">
        <v>45350</v>
      </c>
      <c r="B60">
        <v>1640</v>
      </c>
      <c r="C60">
        <v>1229</v>
      </c>
      <c r="D60">
        <v>2015560</v>
      </c>
      <c r="E60">
        <v>251160</v>
      </c>
      <c r="F60">
        <v>403112</v>
      </c>
    </row>
    <row r="61" spans="1:6" x14ac:dyDescent="0.3">
      <c r="A61" s="1">
        <v>45351</v>
      </c>
      <c r="B61">
        <v>1655</v>
      </c>
      <c r="C61">
        <v>1229</v>
      </c>
      <c r="D61">
        <v>2033995</v>
      </c>
      <c r="E61">
        <v>251180</v>
      </c>
      <c r="F61">
        <v>406799</v>
      </c>
    </row>
    <row r="62" spans="1:6" x14ac:dyDescent="0.3">
      <c r="A62" s="1">
        <v>45352</v>
      </c>
      <c r="B62">
        <v>1670</v>
      </c>
      <c r="C62">
        <v>1230</v>
      </c>
      <c r="D62">
        <v>2054100</v>
      </c>
      <c r="E62">
        <v>251200</v>
      </c>
      <c r="F62">
        <v>410820</v>
      </c>
    </row>
    <row r="63" spans="1:6" x14ac:dyDescent="0.3">
      <c r="A63" s="1">
        <v>45353</v>
      </c>
      <c r="B63">
        <v>1685</v>
      </c>
      <c r="C63">
        <v>1230</v>
      </c>
      <c r="D63">
        <v>2072550</v>
      </c>
      <c r="E63">
        <v>251220</v>
      </c>
      <c r="F63">
        <v>414510</v>
      </c>
    </row>
    <row r="64" spans="1:6" x14ac:dyDescent="0.3">
      <c r="A64" s="1">
        <v>45354</v>
      </c>
      <c r="B64">
        <v>1700</v>
      </c>
      <c r="C64">
        <v>1231</v>
      </c>
      <c r="D64">
        <v>2092700</v>
      </c>
      <c r="E64">
        <v>251240</v>
      </c>
      <c r="F64">
        <v>418540</v>
      </c>
    </row>
    <row r="65" spans="1:6" x14ac:dyDescent="0.3">
      <c r="A65" s="1">
        <v>45355</v>
      </c>
      <c r="B65">
        <v>1715</v>
      </c>
      <c r="C65">
        <v>1231</v>
      </c>
      <c r="D65">
        <v>2111165</v>
      </c>
      <c r="E65">
        <v>251260</v>
      </c>
      <c r="F65">
        <v>422233</v>
      </c>
    </row>
    <row r="66" spans="1:6" x14ac:dyDescent="0.3">
      <c r="A66" s="1">
        <v>45356</v>
      </c>
      <c r="B66">
        <v>1730</v>
      </c>
      <c r="C66">
        <v>1232</v>
      </c>
      <c r="D66">
        <v>2131360</v>
      </c>
      <c r="E66">
        <v>251280</v>
      </c>
      <c r="F66">
        <v>426272</v>
      </c>
    </row>
    <row r="67" spans="1:6" x14ac:dyDescent="0.3">
      <c r="A67" s="1">
        <v>45357</v>
      </c>
      <c r="B67">
        <v>1745</v>
      </c>
      <c r="C67">
        <v>1232</v>
      </c>
      <c r="D67">
        <v>2149840</v>
      </c>
      <c r="E67">
        <v>251300</v>
      </c>
      <c r="F67">
        <v>429968</v>
      </c>
    </row>
    <row r="68" spans="1:6" x14ac:dyDescent="0.3">
      <c r="A68" s="1">
        <v>45358</v>
      </c>
      <c r="B68">
        <v>1760</v>
      </c>
      <c r="C68">
        <v>1233</v>
      </c>
      <c r="D68">
        <v>2170080</v>
      </c>
      <c r="E68">
        <v>251320</v>
      </c>
      <c r="F68">
        <v>434016</v>
      </c>
    </row>
    <row r="69" spans="1:6" x14ac:dyDescent="0.3">
      <c r="A69" s="1">
        <v>45359</v>
      </c>
      <c r="B69">
        <v>1775</v>
      </c>
      <c r="C69">
        <v>1233</v>
      </c>
      <c r="D69">
        <v>2188575</v>
      </c>
      <c r="E69">
        <v>251340</v>
      </c>
      <c r="F69">
        <v>437715</v>
      </c>
    </row>
    <row r="70" spans="1:6" x14ac:dyDescent="0.3">
      <c r="A70" s="1">
        <v>45360</v>
      </c>
      <c r="B70">
        <v>1790</v>
      </c>
      <c r="C70">
        <v>1234</v>
      </c>
      <c r="D70">
        <v>2208860</v>
      </c>
      <c r="E70">
        <v>251360</v>
      </c>
      <c r="F70">
        <v>441772</v>
      </c>
    </row>
    <row r="71" spans="1:6" x14ac:dyDescent="0.3">
      <c r="A71" s="1">
        <v>45361</v>
      </c>
      <c r="B71">
        <v>1805</v>
      </c>
      <c r="C71">
        <v>1234</v>
      </c>
      <c r="D71">
        <v>2227370</v>
      </c>
      <c r="E71">
        <v>251380</v>
      </c>
      <c r="F71">
        <v>445474</v>
      </c>
    </row>
    <row r="72" spans="1:6" x14ac:dyDescent="0.3">
      <c r="A72" s="1">
        <v>45362</v>
      </c>
      <c r="B72">
        <v>1820</v>
      </c>
      <c r="C72">
        <v>1235</v>
      </c>
      <c r="D72">
        <v>2247700</v>
      </c>
      <c r="E72">
        <v>251400</v>
      </c>
      <c r="F72">
        <v>449540</v>
      </c>
    </row>
    <row r="73" spans="1:6" x14ac:dyDescent="0.3">
      <c r="A73" s="1">
        <v>45363</v>
      </c>
      <c r="B73">
        <v>1835</v>
      </c>
      <c r="C73">
        <v>1235</v>
      </c>
      <c r="D73">
        <v>2266225</v>
      </c>
      <c r="E73">
        <v>251420</v>
      </c>
      <c r="F73">
        <v>453245</v>
      </c>
    </row>
    <row r="74" spans="1:6" x14ac:dyDescent="0.3">
      <c r="A74" s="1">
        <v>45364</v>
      </c>
      <c r="B74">
        <v>1850</v>
      </c>
      <c r="C74">
        <v>1236</v>
      </c>
      <c r="D74">
        <v>2286600</v>
      </c>
      <c r="E74">
        <v>251440</v>
      </c>
      <c r="F74">
        <v>457320</v>
      </c>
    </row>
    <row r="75" spans="1:6" x14ac:dyDescent="0.3">
      <c r="A75" s="1">
        <v>45365</v>
      </c>
      <c r="B75">
        <v>1865</v>
      </c>
      <c r="C75">
        <v>1236</v>
      </c>
      <c r="D75">
        <v>2305140</v>
      </c>
      <c r="E75">
        <v>251460</v>
      </c>
      <c r="F75">
        <v>461028</v>
      </c>
    </row>
    <row r="76" spans="1:6" x14ac:dyDescent="0.3">
      <c r="A76" s="1">
        <v>45366</v>
      </c>
      <c r="B76">
        <v>1880</v>
      </c>
      <c r="C76">
        <v>1237</v>
      </c>
      <c r="D76">
        <v>2325560</v>
      </c>
      <c r="E76">
        <v>251480</v>
      </c>
      <c r="F76">
        <v>465112</v>
      </c>
    </row>
    <row r="77" spans="1:6" x14ac:dyDescent="0.3">
      <c r="A77" s="1">
        <v>45367</v>
      </c>
      <c r="B77">
        <v>1895</v>
      </c>
      <c r="C77">
        <v>1237</v>
      </c>
      <c r="D77">
        <v>2344115</v>
      </c>
      <c r="E77">
        <v>251500</v>
      </c>
      <c r="F77">
        <v>468823</v>
      </c>
    </row>
    <row r="78" spans="1:6" x14ac:dyDescent="0.3">
      <c r="A78" s="1">
        <v>45368</v>
      </c>
      <c r="B78">
        <v>1910</v>
      </c>
      <c r="C78">
        <v>1238</v>
      </c>
      <c r="D78">
        <v>2364580</v>
      </c>
      <c r="E78">
        <v>251520</v>
      </c>
      <c r="F78">
        <v>472916</v>
      </c>
    </row>
    <row r="79" spans="1:6" x14ac:dyDescent="0.3">
      <c r="A79" s="1">
        <v>45369</v>
      </c>
      <c r="B79">
        <v>1925</v>
      </c>
      <c r="C79">
        <v>1238</v>
      </c>
      <c r="D79">
        <v>2383150</v>
      </c>
      <c r="E79">
        <v>251540</v>
      </c>
      <c r="F79">
        <v>476630</v>
      </c>
    </row>
    <row r="80" spans="1:6" x14ac:dyDescent="0.3">
      <c r="A80" s="1">
        <v>45370</v>
      </c>
      <c r="B80">
        <v>1940</v>
      </c>
      <c r="C80">
        <v>1239</v>
      </c>
      <c r="D80">
        <v>2403660</v>
      </c>
      <c r="E80">
        <v>251560</v>
      </c>
      <c r="F80">
        <v>480732</v>
      </c>
    </row>
    <row r="81" spans="1:6" x14ac:dyDescent="0.3">
      <c r="A81" s="1">
        <v>45371</v>
      </c>
      <c r="B81">
        <v>1955</v>
      </c>
      <c r="C81">
        <v>1239</v>
      </c>
      <c r="D81">
        <v>2422245</v>
      </c>
      <c r="E81">
        <v>251580</v>
      </c>
      <c r="F81">
        <v>484449</v>
      </c>
    </row>
    <row r="82" spans="1:6" x14ac:dyDescent="0.3">
      <c r="A82" s="1">
        <v>45372</v>
      </c>
      <c r="B82">
        <v>1970</v>
      </c>
      <c r="C82">
        <v>1240</v>
      </c>
      <c r="D82">
        <v>2442800</v>
      </c>
      <c r="E82">
        <v>251600</v>
      </c>
      <c r="F82">
        <v>488560</v>
      </c>
    </row>
    <row r="83" spans="1:6" x14ac:dyDescent="0.3">
      <c r="A83" s="1">
        <v>45373</v>
      </c>
      <c r="B83">
        <v>1985</v>
      </c>
      <c r="C83">
        <v>1240</v>
      </c>
      <c r="D83">
        <v>2461400</v>
      </c>
      <c r="E83">
        <v>251620</v>
      </c>
      <c r="F83">
        <v>492280</v>
      </c>
    </row>
    <row r="84" spans="1:6" x14ac:dyDescent="0.3">
      <c r="A84" s="1">
        <v>45374</v>
      </c>
      <c r="B84">
        <v>2000</v>
      </c>
      <c r="C84">
        <v>1241</v>
      </c>
      <c r="D84">
        <v>2482000</v>
      </c>
      <c r="E84">
        <v>251640</v>
      </c>
      <c r="F84">
        <v>496400</v>
      </c>
    </row>
    <row r="85" spans="1:6" x14ac:dyDescent="0.3">
      <c r="A85" s="1">
        <v>45375</v>
      </c>
      <c r="B85">
        <v>2015</v>
      </c>
      <c r="C85">
        <v>1241</v>
      </c>
      <c r="D85">
        <v>2500615</v>
      </c>
      <c r="E85">
        <v>251660</v>
      </c>
      <c r="F85">
        <v>500123</v>
      </c>
    </row>
    <row r="86" spans="1:6" x14ac:dyDescent="0.3">
      <c r="A86" s="1">
        <v>45376</v>
      </c>
      <c r="B86">
        <v>2030</v>
      </c>
      <c r="C86">
        <v>1242</v>
      </c>
      <c r="D86">
        <v>2521260</v>
      </c>
      <c r="E86">
        <v>251680</v>
      </c>
      <c r="F86">
        <v>504252</v>
      </c>
    </row>
    <row r="87" spans="1:6" x14ac:dyDescent="0.3">
      <c r="A87" s="1">
        <v>45377</v>
      </c>
      <c r="B87">
        <v>2045</v>
      </c>
      <c r="C87">
        <v>1242</v>
      </c>
      <c r="D87">
        <v>2539890</v>
      </c>
      <c r="E87">
        <v>251700</v>
      </c>
      <c r="F87">
        <v>507978</v>
      </c>
    </row>
    <row r="88" spans="1:6" x14ac:dyDescent="0.3">
      <c r="A88" s="1">
        <v>45378</v>
      </c>
      <c r="B88">
        <v>2060</v>
      </c>
      <c r="C88">
        <v>1243</v>
      </c>
      <c r="D88">
        <v>2560580</v>
      </c>
      <c r="E88">
        <v>251720</v>
      </c>
      <c r="F88">
        <v>512116</v>
      </c>
    </row>
    <row r="89" spans="1:6" x14ac:dyDescent="0.3">
      <c r="A89" s="1">
        <v>45379</v>
      </c>
      <c r="B89">
        <v>2075</v>
      </c>
      <c r="C89">
        <v>1243</v>
      </c>
      <c r="D89">
        <v>2579225</v>
      </c>
      <c r="E89">
        <v>251740</v>
      </c>
      <c r="F89">
        <v>515845</v>
      </c>
    </row>
    <row r="90" spans="1:6" x14ac:dyDescent="0.3">
      <c r="A90" s="1">
        <v>45380</v>
      </c>
      <c r="B90">
        <v>2090</v>
      </c>
      <c r="C90">
        <v>1244</v>
      </c>
      <c r="D90">
        <v>2599960</v>
      </c>
      <c r="E90">
        <v>251760</v>
      </c>
      <c r="F90">
        <v>519992</v>
      </c>
    </row>
    <row r="91" spans="1:6" x14ac:dyDescent="0.3">
      <c r="A91" s="1">
        <v>45381</v>
      </c>
      <c r="B91">
        <v>2105</v>
      </c>
      <c r="C91">
        <v>1244</v>
      </c>
      <c r="D91">
        <v>2618620</v>
      </c>
      <c r="E91">
        <v>251780</v>
      </c>
      <c r="F91">
        <v>523724</v>
      </c>
    </row>
    <row r="92" spans="1:6" x14ac:dyDescent="0.3">
      <c r="A92" s="1">
        <v>45382</v>
      </c>
      <c r="B92">
        <v>2120</v>
      </c>
      <c r="C92">
        <v>1245</v>
      </c>
      <c r="D92">
        <v>2639400</v>
      </c>
      <c r="E92">
        <v>251800</v>
      </c>
      <c r="F92">
        <v>527880</v>
      </c>
    </row>
    <row r="93" spans="1:6" x14ac:dyDescent="0.3">
      <c r="A93" s="1">
        <v>45383</v>
      </c>
      <c r="B93">
        <v>2135</v>
      </c>
      <c r="C93">
        <v>1245</v>
      </c>
      <c r="D93">
        <v>2658075</v>
      </c>
      <c r="E93">
        <v>251820</v>
      </c>
      <c r="F93">
        <v>531615</v>
      </c>
    </row>
    <row r="94" spans="1:6" x14ac:dyDescent="0.3">
      <c r="A94" s="1">
        <v>45384</v>
      </c>
      <c r="B94">
        <v>2150</v>
      </c>
      <c r="C94">
        <v>1246</v>
      </c>
      <c r="D94">
        <v>2678900</v>
      </c>
      <c r="E94">
        <v>251840</v>
      </c>
      <c r="F94">
        <v>535780</v>
      </c>
    </row>
    <row r="95" spans="1:6" x14ac:dyDescent="0.3">
      <c r="A95" s="1">
        <v>45385</v>
      </c>
      <c r="B95">
        <v>2165</v>
      </c>
      <c r="C95">
        <v>1246</v>
      </c>
      <c r="D95">
        <v>2697610</v>
      </c>
      <c r="E95">
        <v>251860</v>
      </c>
      <c r="F95">
        <v>539522</v>
      </c>
    </row>
    <row r="96" spans="1:6" x14ac:dyDescent="0.3">
      <c r="A96" s="1">
        <v>45386</v>
      </c>
      <c r="B96">
        <v>2180</v>
      </c>
      <c r="C96">
        <v>1247</v>
      </c>
      <c r="D96">
        <v>2718460</v>
      </c>
      <c r="E96">
        <v>251880</v>
      </c>
      <c r="F96">
        <v>543692</v>
      </c>
    </row>
    <row r="97" spans="1:6" x14ac:dyDescent="0.3">
      <c r="A97" s="1">
        <v>45387</v>
      </c>
      <c r="B97">
        <v>2195</v>
      </c>
      <c r="C97">
        <v>1247</v>
      </c>
      <c r="D97">
        <v>2737165</v>
      </c>
      <c r="E97">
        <v>251900</v>
      </c>
      <c r="F97">
        <v>547433</v>
      </c>
    </row>
    <row r="98" spans="1:6" x14ac:dyDescent="0.3">
      <c r="A98" s="1">
        <v>45388</v>
      </c>
      <c r="B98">
        <v>2210</v>
      </c>
      <c r="C98">
        <v>1248</v>
      </c>
      <c r="D98">
        <v>2758080</v>
      </c>
      <c r="E98">
        <v>251920</v>
      </c>
      <c r="F98">
        <v>551616</v>
      </c>
    </row>
    <row r="99" spans="1:6" x14ac:dyDescent="0.3">
      <c r="A99" s="1">
        <v>45389</v>
      </c>
      <c r="B99">
        <v>2225</v>
      </c>
      <c r="C99">
        <v>1248</v>
      </c>
      <c r="D99">
        <v>2776800</v>
      </c>
      <c r="E99">
        <v>251940</v>
      </c>
      <c r="F99">
        <v>555360</v>
      </c>
    </row>
    <row r="100" spans="1:6" x14ac:dyDescent="0.3">
      <c r="A100" s="1">
        <v>45390</v>
      </c>
      <c r="B100">
        <v>2240</v>
      </c>
      <c r="C100">
        <v>1249</v>
      </c>
      <c r="D100">
        <v>2797760</v>
      </c>
      <c r="E100">
        <v>251960</v>
      </c>
      <c r="F100">
        <v>559552</v>
      </c>
    </row>
    <row r="101" spans="1:6" x14ac:dyDescent="0.3">
      <c r="A101" s="1">
        <v>45391</v>
      </c>
      <c r="B101">
        <v>2255</v>
      </c>
      <c r="C101">
        <v>1249</v>
      </c>
      <c r="D101">
        <v>2816495</v>
      </c>
      <c r="E101">
        <v>251980</v>
      </c>
      <c r="F101">
        <v>563299</v>
      </c>
    </row>
    <row r="102" spans="1:6" x14ac:dyDescent="0.3">
      <c r="A102" s="1">
        <v>45392</v>
      </c>
      <c r="B102">
        <v>2270</v>
      </c>
      <c r="C102">
        <v>1250</v>
      </c>
      <c r="D102">
        <v>2837500</v>
      </c>
      <c r="E102">
        <v>252000</v>
      </c>
      <c r="F102">
        <v>567500</v>
      </c>
    </row>
    <row r="103" spans="1:6" x14ac:dyDescent="0.3">
      <c r="A103" s="1">
        <v>45393</v>
      </c>
      <c r="B103">
        <v>2285</v>
      </c>
      <c r="C103">
        <v>1250</v>
      </c>
      <c r="D103">
        <v>2856250</v>
      </c>
      <c r="E103">
        <v>252020</v>
      </c>
      <c r="F103">
        <v>571250</v>
      </c>
    </row>
    <row r="104" spans="1:6" x14ac:dyDescent="0.3">
      <c r="A104" s="1">
        <v>45394</v>
      </c>
      <c r="B104">
        <v>2300</v>
      </c>
      <c r="C104">
        <v>1251</v>
      </c>
      <c r="D104">
        <v>2877300</v>
      </c>
      <c r="E104">
        <v>252040</v>
      </c>
      <c r="F104">
        <v>575460</v>
      </c>
    </row>
    <row r="105" spans="1:6" x14ac:dyDescent="0.3">
      <c r="A105" s="1">
        <v>45395</v>
      </c>
      <c r="B105">
        <v>2315</v>
      </c>
      <c r="C105">
        <v>1251</v>
      </c>
      <c r="D105">
        <v>2896065</v>
      </c>
      <c r="E105">
        <v>252060</v>
      </c>
      <c r="F105">
        <v>579213</v>
      </c>
    </row>
    <row r="106" spans="1:6" x14ac:dyDescent="0.3">
      <c r="A106" s="1">
        <v>45396</v>
      </c>
      <c r="B106">
        <v>2330</v>
      </c>
      <c r="C106">
        <v>1252</v>
      </c>
      <c r="D106">
        <v>2917160</v>
      </c>
      <c r="E106">
        <v>252080</v>
      </c>
      <c r="F106">
        <v>583432</v>
      </c>
    </row>
    <row r="107" spans="1:6" x14ac:dyDescent="0.3">
      <c r="A107" s="1">
        <v>45397</v>
      </c>
      <c r="B107">
        <v>2345</v>
      </c>
      <c r="C107">
        <v>1252</v>
      </c>
      <c r="D107">
        <v>2935940</v>
      </c>
      <c r="E107">
        <v>252100</v>
      </c>
      <c r="F107">
        <v>587188</v>
      </c>
    </row>
    <row r="108" spans="1:6" x14ac:dyDescent="0.3">
      <c r="A108" s="1">
        <v>45398</v>
      </c>
      <c r="B108">
        <v>2360</v>
      </c>
      <c r="C108">
        <v>1253</v>
      </c>
      <c r="D108">
        <v>2957080</v>
      </c>
      <c r="E108">
        <v>252120</v>
      </c>
      <c r="F108">
        <v>591416</v>
      </c>
    </row>
    <row r="109" spans="1:6" x14ac:dyDescent="0.3">
      <c r="A109" s="1">
        <v>45399</v>
      </c>
      <c r="B109">
        <v>2375</v>
      </c>
      <c r="C109">
        <v>1253</v>
      </c>
      <c r="D109">
        <v>2975875</v>
      </c>
      <c r="E109">
        <v>252140</v>
      </c>
      <c r="F109">
        <v>595175</v>
      </c>
    </row>
    <row r="110" spans="1:6" x14ac:dyDescent="0.3">
      <c r="A110" s="1">
        <v>45400</v>
      </c>
      <c r="B110">
        <v>2390</v>
      </c>
      <c r="C110">
        <v>1254</v>
      </c>
      <c r="D110">
        <v>2997060</v>
      </c>
      <c r="E110">
        <v>252160</v>
      </c>
      <c r="F110">
        <v>599412</v>
      </c>
    </row>
    <row r="111" spans="1:6" x14ac:dyDescent="0.3">
      <c r="A111" s="1">
        <v>45401</v>
      </c>
      <c r="B111">
        <v>2405</v>
      </c>
      <c r="C111">
        <v>1254</v>
      </c>
      <c r="D111">
        <v>3015860</v>
      </c>
      <c r="E111">
        <v>252180</v>
      </c>
      <c r="F111">
        <v>603172</v>
      </c>
    </row>
    <row r="112" spans="1:6" x14ac:dyDescent="0.3">
      <c r="A112" s="1">
        <v>45402</v>
      </c>
      <c r="B112">
        <v>2420</v>
      </c>
      <c r="C112">
        <v>1255</v>
      </c>
      <c r="D112">
        <v>3037100</v>
      </c>
      <c r="E112">
        <v>252200</v>
      </c>
      <c r="F112">
        <v>607420</v>
      </c>
    </row>
    <row r="113" spans="1:6" x14ac:dyDescent="0.3">
      <c r="A113" s="1">
        <v>45403</v>
      </c>
      <c r="B113">
        <v>2435</v>
      </c>
      <c r="C113">
        <v>1255</v>
      </c>
      <c r="D113">
        <v>3055925</v>
      </c>
      <c r="E113">
        <v>252220</v>
      </c>
      <c r="F113">
        <v>611185</v>
      </c>
    </row>
    <row r="114" spans="1:6" x14ac:dyDescent="0.3">
      <c r="A114" s="1">
        <v>45404</v>
      </c>
      <c r="B114">
        <v>2450</v>
      </c>
      <c r="C114">
        <v>1256</v>
      </c>
      <c r="D114">
        <v>3077200</v>
      </c>
      <c r="E114">
        <v>252240</v>
      </c>
      <c r="F114">
        <v>615440</v>
      </c>
    </row>
    <row r="115" spans="1:6" x14ac:dyDescent="0.3">
      <c r="A115" s="1">
        <v>45405</v>
      </c>
      <c r="B115">
        <v>2090</v>
      </c>
      <c r="C115">
        <v>1244</v>
      </c>
      <c r="D115">
        <v>2599960</v>
      </c>
      <c r="E115">
        <v>251760</v>
      </c>
      <c r="F115">
        <v>519992</v>
      </c>
    </row>
    <row r="116" spans="1:6" x14ac:dyDescent="0.3">
      <c r="A116" s="1">
        <v>45406</v>
      </c>
      <c r="B116">
        <v>2105</v>
      </c>
      <c r="C116">
        <v>1244</v>
      </c>
      <c r="D116">
        <v>2618620</v>
      </c>
      <c r="E116">
        <v>251780</v>
      </c>
      <c r="F116">
        <v>523724</v>
      </c>
    </row>
    <row r="117" spans="1:6" x14ac:dyDescent="0.3">
      <c r="A117" s="1">
        <v>45407</v>
      </c>
      <c r="B117">
        <v>2120</v>
      </c>
      <c r="C117">
        <v>1245</v>
      </c>
      <c r="D117">
        <v>2639400</v>
      </c>
      <c r="E117">
        <v>251800</v>
      </c>
      <c r="F117">
        <v>527880</v>
      </c>
    </row>
    <row r="118" spans="1:6" x14ac:dyDescent="0.3">
      <c r="A118" s="1">
        <v>45408</v>
      </c>
      <c r="B118">
        <v>2135</v>
      </c>
      <c r="C118">
        <v>1245</v>
      </c>
      <c r="D118">
        <v>2658075</v>
      </c>
      <c r="E118">
        <v>251820</v>
      </c>
      <c r="F118">
        <v>531615</v>
      </c>
    </row>
    <row r="119" spans="1:6" x14ac:dyDescent="0.3">
      <c r="A119" s="1">
        <v>45409</v>
      </c>
      <c r="B119">
        <v>2150</v>
      </c>
      <c r="C119">
        <v>1246</v>
      </c>
      <c r="D119">
        <v>2678900</v>
      </c>
      <c r="E119">
        <v>251840</v>
      </c>
      <c r="F119">
        <v>535780</v>
      </c>
    </row>
    <row r="120" spans="1:6" x14ac:dyDescent="0.3">
      <c r="A120" s="1">
        <v>45410</v>
      </c>
      <c r="B120">
        <v>2165</v>
      </c>
      <c r="C120">
        <v>1246</v>
      </c>
      <c r="D120">
        <v>2697610</v>
      </c>
      <c r="E120">
        <v>251860</v>
      </c>
      <c r="F120">
        <v>539522</v>
      </c>
    </row>
    <row r="121" spans="1:6" x14ac:dyDescent="0.3">
      <c r="A121" s="1">
        <v>45411</v>
      </c>
      <c r="B121">
        <v>2180</v>
      </c>
      <c r="C121">
        <v>1247</v>
      </c>
      <c r="D121">
        <v>2718460</v>
      </c>
      <c r="E121">
        <v>251880</v>
      </c>
      <c r="F121">
        <v>543692</v>
      </c>
    </row>
    <row r="122" spans="1:6" x14ac:dyDescent="0.3">
      <c r="A122" s="1">
        <v>45412</v>
      </c>
      <c r="B122">
        <v>2195</v>
      </c>
      <c r="C122">
        <v>1247</v>
      </c>
      <c r="D122">
        <v>2737165</v>
      </c>
      <c r="E122">
        <v>251900</v>
      </c>
      <c r="F122">
        <v>547433</v>
      </c>
    </row>
    <row r="124" spans="1:6" x14ac:dyDescent="0.3">
      <c r="A12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32D5-10CB-4D85-A1C6-79914CD492F3}">
  <dimension ref="A1:D7"/>
  <sheetViews>
    <sheetView tabSelected="1" zoomScale="139" workbookViewId="0">
      <selection activeCell="K4" sqref="K4"/>
    </sheetView>
  </sheetViews>
  <sheetFormatPr defaultRowHeight="14.4" x14ac:dyDescent="0.3"/>
  <cols>
    <col min="1" max="1" width="15.88671875" customWidth="1"/>
    <col min="5" max="5" width="8.88671875" customWidth="1"/>
  </cols>
  <sheetData>
    <row r="1" spans="1:4" x14ac:dyDescent="0.3">
      <c r="A1" s="17" t="s">
        <v>6</v>
      </c>
      <c r="B1" s="17" t="s">
        <v>7</v>
      </c>
    </row>
    <row r="2" spans="1:4" x14ac:dyDescent="0.3">
      <c r="A2" s="15" t="s">
        <v>8</v>
      </c>
      <c r="B2" s="16">
        <v>0.03</v>
      </c>
    </row>
    <row r="3" spans="1:4" x14ac:dyDescent="0.3">
      <c r="A3" s="15" t="s">
        <v>9</v>
      </c>
      <c r="B3" s="16">
        <v>0.05</v>
      </c>
    </row>
    <row r="4" spans="1:4" ht="28.8" x14ac:dyDescent="0.3">
      <c r="A4" s="15" t="s">
        <v>10</v>
      </c>
      <c r="B4" s="16">
        <v>0.2</v>
      </c>
      <c r="D4" s="36"/>
    </row>
    <row r="5" spans="1:4" x14ac:dyDescent="0.3">
      <c r="A5" s="15" t="s">
        <v>11</v>
      </c>
      <c r="B5" s="16">
        <v>0.25</v>
      </c>
    </row>
    <row r="6" spans="1:4" ht="28.8" x14ac:dyDescent="0.3">
      <c r="A6" s="15" t="s">
        <v>12</v>
      </c>
      <c r="B6" s="15">
        <v>1</v>
      </c>
    </row>
    <row r="7" spans="1:4" x14ac:dyDescent="0.3">
      <c r="A7" s="15" t="s">
        <v>15</v>
      </c>
      <c r="B7" s="16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5E73-3958-43EF-B45D-7D126D8F146C}">
  <dimension ref="A1:B15"/>
  <sheetViews>
    <sheetView workbookViewId="0">
      <selection activeCell="B15" sqref="B15"/>
    </sheetView>
  </sheetViews>
  <sheetFormatPr defaultRowHeight="14.4" x14ac:dyDescent="0.3"/>
  <cols>
    <col min="1" max="1" width="18.21875" customWidth="1"/>
    <col min="2" max="2" width="15.44140625" customWidth="1"/>
  </cols>
  <sheetData>
    <row r="1" spans="1:2" ht="18" x14ac:dyDescent="0.35">
      <c r="A1" s="37" t="s">
        <v>22</v>
      </c>
      <c r="B1" s="37"/>
    </row>
    <row r="2" spans="1:2" x14ac:dyDescent="0.3">
      <c r="A2" s="18"/>
      <c r="B2" s="4"/>
    </row>
    <row r="3" spans="1:2" x14ac:dyDescent="0.3">
      <c r="A3" s="9" t="s">
        <v>17</v>
      </c>
      <c r="B3" s="10">
        <f>SUM(Revenue_and_expense_forecast!D:D)</f>
        <v>85337413.266064882</v>
      </c>
    </row>
    <row r="4" spans="1:2" x14ac:dyDescent="0.3">
      <c r="A4" s="6"/>
      <c r="B4" s="7"/>
    </row>
    <row r="5" spans="1:2" x14ac:dyDescent="0.3">
      <c r="A5" s="9" t="s">
        <v>18</v>
      </c>
      <c r="B5" s="10">
        <f>SUM(Revenue_and_expense_forecast!E:G)</f>
        <v>49892124.296568491</v>
      </c>
    </row>
    <row r="6" spans="1:2" x14ac:dyDescent="0.3">
      <c r="A6" s="6"/>
      <c r="B6" s="7"/>
    </row>
    <row r="7" spans="1:2" x14ac:dyDescent="0.3">
      <c r="A7" s="9" t="s">
        <v>19</v>
      </c>
      <c r="B7" s="10">
        <f>B3-B5</f>
        <v>35445288.969496392</v>
      </c>
    </row>
    <row r="8" spans="1:2" x14ac:dyDescent="0.3">
      <c r="A8" s="6"/>
      <c r="B8" s="7"/>
    </row>
    <row r="9" spans="1:2" x14ac:dyDescent="0.3">
      <c r="A9" s="9" t="s">
        <v>20</v>
      </c>
      <c r="B9" s="10">
        <f>B7*Assumptions!B5</f>
        <v>8861322.2423740979</v>
      </c>
    </row>
    <row r="10" spans="1:2" x14ac:dyDescent="0.3">
      <c r="A10" s="6"/>
      <c r="B10" s="8"/>
    </row>
    <row r="11" spans="1:2" x14ac:dyDescent="0.3">
      <c r="A11" s="9" t="s">
        <v>21</v>
      </c>
      <c r="B11" s="11">
        <f>B7-B9</f>
        <v>26583966.727122292</v>
      </c>
    </row>
    <row r="12" spans="1:2" x14ac:dyDescent="0.3">
      <c r="A12" s="4"/>
      <c r="B12" s="4"/>
    </row>
    <row r="13" spans="1:2" x14ac:dyDescent="0.3">
      <c r="A13" s="9" t="s">
        <v>23</v>
      </c>
      <c r="B13" s="19">
        <f>B7/B3</f>
        <v>0.41535462129588008</v>
      </c>
    </row>
    <row r="14" spans="1:2" x14ac:dyDescent="0.3">
      <c r="A14" s="4"/>
      <c r="B14" s="20"/>
    </row>
    <row r="15" spans="1:2" x14ac:dyDescent="0.3">
      <c r="A15" s="9" t="s">
        <v>24</v>
      </c>
      <c r="B15" s="19">
        <f>B11/B3</f>
        <v>0.31151596597191006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ECF9-1219-4613-A485-961E6FD5D498}">
  <dimension ref="C1:F35"/>
  <sheetViews>
    <sheetView topLeftCell="B1" zoomScale="130" workbookViewId="0">
      <selection activeCell="H7" sqref="H7"/>
    </sheetView>
  </sheetViews>
  <sheetFormatPr defaultRowHeight="14.4" x14ac:dyDescent="0.3"/>
  <cols>
    <col min="1" max="1" width="12.5546875" bestFit="1" customWidth="1"/>
    <col min="2" max="2" width="14.44140625" customWidth="1"/>
    <col min="3" max="3" width="15.5546875" customWidth="1"/>
    <col min="4" max="4" width="17.33203125" customWidth="1"/>
    <col min="5" max="5" width="24.6640625" style="33" customWidth="1"/>
    <col min="6" max="6" width="23.109375" customWidth="1"/>
  </cols>
  <sheetData>
    <row r="1" spans="3:6" ht="15.6" x14ac:dyDescent="0.3">
      <c r="D1" s="38" t="s">
        <v>34</v>
      </c>
      <c r="E1" s="38"/>
    </row>
    <row r="3" spans="3:6" x14ac:dyDescent="0.3">
      <c r="C3" s="31" t="s">
        <v>29</v>
      </c>
      <c r="D3" t="s">
        <v>33</v>
      </c>
      <c r="E3" s="33" t="s">
        <v>31</v>
      </c>
      <c r="F3" t="s">
        <v>32</v>
      </c>
    </row>
    <row r="4" spans="3:6" x14ac:dyDescent="0.3">
      <c r="C4" s="32">
        <v>45413</v>
      </c>
      <c r="D4" s="5">
        <v>2738139.9423212237</v>
      </c>
      <c r="E4" s="35">
        <v>799667.47013698623</v>
      </c>
      <c r="F4" s="5">
        <v>1938472.4721842376</v>
      </c>
    </row>
    <row r="5" spans="3:6" x14ac:dyDescent="0.3">
      <c r="C5" s="32">
        <v>45414</v>
      </c>
      <c r="D5" s="5">
        <v>2739115.2319041323</v>
      </c>
      <c r="E5" s="34">
        <v>800002.10936438362</v>
      </c>
      <c r="F5" s="5">
        <v>1939113.1225397487</v>
      </c>
    </row>
    <row r="6" spans="3:6" x14ac:dyDescent="0.3">
      <c r="C6" s="32">
        <v>45415</v>
      </c>
      <c r="D6" s="5">
        <v>2740090.8688724157</v>
      </c>
      <c r="E6" s="34">
        <v>800336.91777290148</v>
      </c>
      <c r="F6" s="5">
        <v>1939753.9510995143</v>
      </c>
    </row>
    <row r="7" spans="3:6" x14ac:dyDescent="0.3">
      <c r="C7" s="32">
        <v>45416</v>
      </c>
      <c r="D7" s="5">
        <v>2741066.8533498081</v>
      </c>
      <c r="E7" s="34">
        <v>800671.89545329916</v>
      </c>
      <c r="F7" s="5">
        <v>1940394.957896509</v>
      </c>
    </row>
    <row r="8" spans="3:6" x14ac:dyDescent="0.3">
      <c r="C8" s="32">
        <v>45417</v>
      </c>
      <c r="D8" s="5">
        <v>2742043.1854600878</v>
      </c>
      <c r="E8" s="34">
        <v>801007.04249638529</v>
      </c>
      <c r="F8" s="5">
        <v>1941036.1429637026</v>
      </c>
    </row>
    <row r="9" spans="3:6" x14ac:dyDescent="0.3">
      <c r="C9" s="32">
        <v>45418</v>
      </c>
      <c r="D9" s="5">
        <v>2743019.8653270775</v>
      </c>
      <c r="E9" s="34">
        <v>801342.35899301793</v>
      </c>
      <c r="F9" s="5">
        <v>1941677.5063340594</v>
      </c>
    </row>
    <row r="10" spans="3:6" x14ac:dyDescent="0.3">
      <c r="C10" s="32">
        <v>45419</v>
      </c>
      <c r="D10" s="5">
        <v>2743996.8930746429</v>
      </c>
      <c r="E10" s="34">
        <v>801677.84503410454</v>
      </c>
      <c r="F10" s="5">
        <v>1942319.0480405383</v>
      </c>
    </row>
    <row r="11" spans="3:6" x14ac:dyDescent="0.3">
      <c r="C11" s="32">
        <v>45420</v>
      </c>
      <c r="D11" s="5">
        <v>2744974.2688266942</v>
      </c>
      <c r="E11" s="34">
        <v>802013.50071060238</v>
      </c>
      <c r="F11" s="5">
        <v>1942960.7681160918</v>
      </c>
    </row>
    <row r="12" spans="3:6" x14ac:dyDescent="0.3">
      <c r="C12" s="32">
        <v>45421</v>
      </c>
      <c r="D12" s="5">
        <v>2745951.9927071868</v>
      </c>
      <c r="E12" s="34">
        <v>802349.32611351809</v>
      </c>
      <c r="F12" s="5">
        <v>1943602.6665936687</v>
      </c>
    </row>
    <row r="13" spans="3:6" x14ac:dyDescent="0.3">
      <c r="C13" s="32">
        <v>45422</v>
      </c>
      <c r="D13" s="5">
        <v>2746930.0648401193</v>
      </c>
      <c r="E13" s="34">
        <v>802685.32133390824</v>
      </c>
      <c r="F13" s="5">
        <v>1944244.7435062111</v>
      </c>
    </row>
    <row r="14" spans="3:6" x14ac:dyDescent="0.3">
      <c r="C14" s="32">
        <v>45423</v>
      </c>
      <c r="D14" s="5">
        <v>2747908.485349535</v>
      </c>
      <c r="E14" s="34">
        <v>803021.48646287841</v>
      </c>
      <c r="F14" s="5">
        <v>1944886.9988866565</v>
      </c>
    </row>
    <row r="15" spans="3:6" x14ac:dyDescent="0.3">
      <c r="C15" s="32">
        <v>45424</v>
      </c>
      <c r="D15" s="5">
        <v>2748887.254359521</v>
      </c>
      <c r="E15" s="34">
        <v>803357.82159158448</v>
      </c>
      <c r="F15" s="5">
        <v>1945529.4327679365</v>
      </c>
    </row>
    <row r="16" spans="3:6" x14ac:dyDescent="0.3">
      <c r="C16" s="32">
        <v>45425</v>
      </c>
      <c r="D16" s="5">
        <v>2749866.3719942081</v>
      </c>
      <c r="E16" s="34">
        <v>803694.32681123167</v>
      </c>
      <c r="F16" s="5">
        <v>1946172.0451829764</v>
      </c>
    </row>
    <row r="17" spans="3:6" x14ac:dyDescent="0.3">
      <c r="C17" s="32">
        <v>45426</v>
      </c>
      <c r="D17" s="5">
        <v>2750845.8383777714</v>
      </c>
      <c r="E17" s="34">
        <v>804031.00221307506</v>
      </c>
      <c r="F17" s="5">
        <v>1946814.8361646964</v>
      </c>
    </row>
    <row r="18" spans="3:6" x14ac:dyDescent="0.3">
      <c r="C18" s="32">
        <v>45427</v>
      </c>
      <c r="D18" s="5">
        <v>2751825.6536344318</v>
      </c>
      <c r="E18" s="34">
        <v>804367.84788841917</v>
      </c>
      <c r="F18" s="5">
        <v>1947457.8057460126</v>
      </c>
    </row>
    <row r="19" spans="3:6" x14ac:dyDescent="0.3">
      <c r="C19" s="32">
        <v>45428</v>
      </c>
      <c r="D19" s="5">
        <v>2752805.8178884531</v>
      </c>
      <c r="E19" s="34">
        <v>804704.86392861861</v>
      </c>
      <c r="F19" s="5">
        <v>1948100.9539598345</v>
      </c>
    </row>
    <row r="20" spans="3:6" x14ac:dyDescent="0.3">
      <c r="C20" s="32">
        <v>45429</v>
      </c>
      <c r="D20" s="5">
        <v>2753786.3312641424</v>
      </c>
      <c r="E20" s="34">
        <v>805042.05042507779</v>
      </c>
      <c r="F20" s="5">
        <v>1948744.2808390646</v>
      </c>
    </row>
    <row r="21" spans="3:6" x14ac:dyDescent="0.3">
      <c r="C21" s="32">
        <v>45430</v>
      </c>
      <c r="D21" s="5">
        <v>2754767.193885854</v>
      </c>
      <c r="E21" s="34">
        <v>805379.40746925073</v>
      </c>
      <c r="F21" s="5">
        <v>1949387.7864166033</v>
      </c>
    </row>
    <row r="22" spans="3:6" x14ac:dyDescent="0.3">
      <c r="C22" s="32">
        <v>45431</v>
      </c>
      <c r="D22" s="5">
        <v>2755748.4058779837</v>
      </c>
      <c r="E22" s="34">
        <v>805716.93515264115</v>
      </c>
      <c r="F22" s="5">
        <v>1950031.4707253426</v>
      </c>
    </row>
    <row r="23" spans="3:6" x14ac:dyDescent="0.3">
      <c r="C23" s="32">
        <v>45432</v>
      </c>
      <c r="D23" s="5">
        <v>2756729.9673649729</v>
      </c>
      <c r="E23" s="34">
        <v>806054.63356680318</v>
      </c>
      <c r="F23" s="5">
        <v>1950675.3337981696</v>
      </c>
    </row>
    <row r="24" spans="3:6" x14ac:dyDescent="0.3">
      <c r="C24" s="32">
        <v>45433</v>
      </c>
      <c r="D24" s="5">
        <v>2757711.8784713075</v>
      </c>
      <c r="E24" s="34">
        <v>806392.50280334044</v>
      </c>
      <c r="F24" s="5">
        <v>1951319.3756679669</v>
      </c>
    </row>
    <row r="25" spans="3:6" x14ac:dyDescent="0.3">
      <c r="C25" s="32">
        <v>45434</v>
      </c>
      <c r="D25" s="5">
        <v>2758694.1393215167</v>
      </c>
      <c r="E25" s="34">
        <v>806730.5429539067</v>
      </c>
      <c r="F25" s="5">
        <v>1951963.5963676102</v>
      </c>
    </row>
    <row r="26" spans="3:6" x14ac:dyDescent="0.3">
      <c r="C26" s="32">
        <v>45435</v>
      </c>
      <c r="D26" s="5">
        <v>2759676.7500401749</v>
      </c>
      <c r="E26" s="34">
        <v>807068.75411020534</v>
      </c>
      <c r="F26" s="5">
        <v>1952607.9959299695</v>
      </c>
    </row>
    <row r="27" spans="3:6" x14ac:dyDescent="0.3">
      <c r="C27" s="32">
        <v>45436</v>
      </c>
      <c r="D27" s="5">
        <v>2760659.7107519</v>
      </c>
      <c r="E27" s="34">
        <v>807407.13636399014</v>
      </c>
      <c r="F27" s="5">
        <v>1953252.5743879098</v>
      </c>
    </row>
    <row r="28" spans="3:6" x14ac:dyDescent="0.3">
      <c r="C28" s="32">
        <v>45437</v>
      </c>
      <c r="D28" s="5">
        <v>2761643.0215813564</v>
      </c>
      <c r="E28" s="34">
        <v>807745.6898070646</v>
      </c>
      <c r="F28" s="5">
        <v>1953897.3317742918</v>
      </c>
    </row>
    <row r="29" spans="3:6" x14ac:dyDescent="0.3">
      <c r="C29" s="32">
        <v>45438</v>
      </c>
      <c r="D29" s="5">
        <v>2762626.6826532506</v>
      </c>
      <c r="E29" s="34">
        <v>808084.41453128238</v>
      </c>
      <c r="F29" s="5">
        <v>1954542.2681219683</v>
      </c>
    </row>
    <row r="30" spans="3:6" x14ac:dyDescent="0.3">
      <c r="C30" s="32">
        <v>45439</v>
      </c>
      <c r="D30" s="5">
        <v>2763610.6940923342</v>
      </c>
      <c r="E30" s="34">
        <v>808423.3106285471</v>
      </c>
      <c r="F30" s="5">
        <v>1955187.3834637871</v>
      </c>
    </row>
    <row r="31" spans="3:6" x14ac:dyDescent="0.3">
      <c r="C31" s="32">
        <v>45440</v>
      </c>
      <c r="D31" s="5">
        <v>2764595.0560234045</v>
      </c>
      <c r="E31" s="34">
        <v>808762.37819081265</v>
      </c>
      <c r="F31" s="5">
        <v>1955832.6778325918</v>
      </c>
    </row>
    <row r="32" spans="3:6" x14ac:dyDescent="0.3">
      <c r="C32" s="32">
        <v>45441</v>
      </c>
      <c r="D32" s="5">
        <v>2765579.7685713009</v>
      </c>
      <c r="E32" s="34">
        <v>809101.61731008277</v>
      </c>
      <c r="F32" s="5">
        <v>1956478.1512612181</v>
      </c>
    </row>
    <row r="33" spans="3:6" x14ac:dyDescent="0.3">
      <c r="C33" s="32">
        <v>45442</v>
      </c>
      <c r="D33" s="5">
        <v>2766564.8318609088</v>
      </c>
      <c r="E33" s="34">
        <v>809441.02807841171</v>
      </c>
      <c r="F33" s="5">
        <v>1957123.8037824971</v>
      </c>
    </row>
    <row r="34" spans="3:6" x14ac:dyDescent="0.3">
      <c r="C34" s="32">
        <v>45443</v>
      </c>
      <c r="D34" s="5">
        <v>2767550.246017158</v>
      </c>
      <c r="E34" s="34">
        <v>809780.61058790365</v>
      </c>
      <c r="F34" s="5">
        <v>1957769.6354292543</v>
      </c>
    </row>
    <row r="35" spans="3:6" x14ac:dyDescent="0.3">
      <c r="C35" s="32" t="s">
        <v>30</v>
      </c>
      <c r="D35" s="5">
        <v>85337413.266064882</v>
      </c>
      <c r="E35" s="34">
        <v>24946062.148284238</v>
      </c>
      <c r="F35" s="5">
        <v>60391351.117780641</v>
      </c>
    </row>
  </sheetData>
  <mergeCells count="1"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3B90-0D7E-46AA-AE10-FFC9B6564E90}">
  <dimension ref="A1:H42"/>
  <sheetViews>
    <sheetView zoomScale="70" workbookViewId="0">
      <selection activeCell="B2" sqref="B2"/>
    </sheetView>
  </sheetViews>
  <sheetFormatPr defaultRowHeight="14.4" x14ac:dyDescent="0.3"/>
  <cols>
    <col min="1" max="1" width="13.6640625" customWidth="1"/>
    <col min="2" max="2" width="17.21875" customWidth="1"/>
    <col min="3" max="3" width="17.21875" style="5" customWidth="1"/>
    <col min="4" max="4" width="20" style="5" customWidth="1"/>
    <col min="5" max="5" width="21.77734375" style="5" customWidth="1"/>
    <col min="6" max="6" width="24.6640625" style="5" customWidth="1"/>
    <col min="7" max="7" width="22" style="5" customWidth="1"/>
    <col min="8" max="8" width="20.44140625" customWidth="1"/>
  </cols>
  <sheetData>
    <row r="1" spans="1:8" ht="28.8" customHeight="1" x14ac:dyDescent="0.3">
      <c r="A1" s="21" t="s">
        <v>5</v>
      </c>
      <c r="B1" s="23" t="s">
        <v>13</v>
      </c>
      <c r="C1" s="24" t="s">
        <v>14</v>
      </c>
      <c r="D1" s="24" t="s">
        <v>16</v>
      </c>
      <c r="E1" s="12" t="s">
        <v>25</v>
      </c>
      <c r="F1" s="12" t="s">
        <v>26</v>
      </c>
      <c r="G1" s="12" t="s">
        <v>27</v>
      </c>
      <c r="H1" s="25" t="s">
        <v>28</v>
      </c>
    </row>
    <row r="2" spans="1:8" x14ac:dyDescent="0.3">
      <c r="A2" s="26">
        <f>MAX(Historical_Data!A:A)+1</f>
        <v>45413</v>
      </c>
      <c r="B2" s="13" cm="1">
        <f t="array" ref="B2">INDEX(Historical_Data!B:B,COUNTA(Historical_Data!B:B))*(1+Assumptions!$B$7/365)</f>
        <v>2195.6013698630136</v>
      </c>
      <c r="C2" s="14" cm="1">
        <f t="array" ref="C2">INDEX(Historical_Data!C:C,COUNTA(Historical_Data!C:C))*(1+Assumptions!$B$2/365)</f>
        <v>1247.1024931506852</v>
      </c>
      <c r="D2" s="14">
        <f>B2*C2</f>
        <v>2738139.9423212237</v>
      </c>
      <c r="E2" s="14" cm="1">
        <f t="array" ref="E2">INDEX(Historical_Data!E:E,COUNTA(Historical_Data!E:E))*(1+Assumptions!B3/365)</f>
        <v>251934.50684931505</v>
      </c>
      <c r="F2" s="14" cm="1">
        <f t="array" ref="F2">INDEX(Historical_Data!F:F,COUNTA(Historical_Data!F:F))*(1+Assumptions!$B$4/365)</f>
        <v>547732.96328767121</v>
      </c>
      <c r="G2" s="14">
        <f>E2+F2</f>
        <v>799667.47013698623</v>
      </c>
      <c r="H2" s="22">
        <f>D2-G2</f>
        <v>1938472.4721842376</v>
      </c>
    </row>
    <row r="3" spans="1:8" x14ac:dyDescent="0.3">
      <c r="A3" s="26">
        <f>A2+1</f>
        <v>45414</v>
      </c>
      <c r="B3" s="13">
        <f>B2*(1+Assumptions!$B$7/365)</f>
        <v>2196.2029044848937</v>
      </c>
      <c r="C3" s="14">
        <f>C2*(1+Assumptions!$B$2/365)</f>
        <v>1247.2049947254648</v>
      </c>
      <c r="D3" s="14">
        <f t="shared" ref="D3:D32" si="0">B3*C3</f>
        <v>2739115.2319041323</v>
      </c>
      <c r="E3" s="14">
        <f>E2*(1+Assumptions!$B$3/365)</f>
        <v>251969.01842559577</v>
      </c>
      <c r="F3" s="14">
        <f>F2*(1+Assumptions!$B$4/365)</f>
        <v>548033.09093878779</v>
      </c>
      <c r="G3" s="14">
        <f t="shared" ref="G3:G32" si="1">E3+F3</f>
        <v>800002.10936438362</v>
      </c>
      <c r="H3" s="22">
        <f t="shared" ref="H3:H32" si="2">D3-G3</f>
        <v>1939113.1225397487</v>
      </c>
    </row>
    <row r="4" spans="1:8" x14ac:dyDescent="0.3">
      <c r="A4" s="26">
        <f t="shared" ref="A4:A32" si="3">A3+1</f>
        <v>45415</v>
      </c>
      <c r="B4" s="13">
        <f>B3*(1+Assumptions!$B$7/365)</f>
        <v>2196.8046039107799</v>
      </c>
      <c r="C4" s="14">
        <f>C3*(1+Assumptions!$B$2/365)</f>
        <v>1247.3075047250313</v>
      </c>
      <c r="D4" s="14">
        <f t="shared" si="0"/>
        <v>2740090.8688724157</v>
      </c>
      <c r="E4" s="14">
        <f>E3*(1+Assumptions!$B$3/365)</f>
        <v>252003.53472948968</v>
      </c>
      <c r="F4" s="14">
        <f>F3*(1+Assumptions!$B$4/365)</f>
        <v>548333.38304341177</v>
      </c>
      <c r="G4" s="14">
        <f t="shared" si="1"/>
        <v>800336.91777290148</v>
      </c>
      <c r="H4" s="22">
        <f t="shared" si="2"/>
        <v>1939753.9510995143</v>
      </c>
    </row>
    <row r="5" spans="1:8" x14ac:dyDescent="0.3">
      <c r="A5" s="26">
        <f t="shared" si="3"/>
        <v>45416</v>
      </c>
      <c r="B5" s="13">
        <f>B4*(1+Assumptions!$B$7/365)</f>
        <v>2197.4064681858235</v>
      </c>
      <c r="C5" s="14">
        <f>C4*(1+Assumptions!$B$2/365)</f>
        <v>1247.4100231500774</v>
      </c>
      <c r="D5" s="14">
        <f t="shared" si="0"/>
        <v>2741066.8533498081</v>
      </c>
      <c r="E5" s="14">
        <f>E4*(1+Assumptions!$B$3/365)</f>
        <v>252038.05576164438</v>
      </c>
      <c r="F5" s="14">
        <f>F4*(1+Assumptions!$B$4/365)</f>
        <v>548633.83969165478</v>
      </c>
      <c r="G5" s="14">
        <f t="shared" si="1"/>
        <v>800671.89545329916</v>
      </c>
      <c r="H5" s="22">
        <f t="shared" si="2"/>
        <v>1940394.957896509</v>
      </c>
    </row>
    <row r="6" spans="1:8" x14ac:dyDescent="0.3">
      <c r="A6" s="26">
        <f t="shared" si="3"/>
        <v>45417</v>
      </c>
      <c r="B6" s="13">
        <f>B5*(1+Assumptions!$B$7/365)</f>
        <v>2198.0084973551893</v>
      </c>
      <c r="C6" s="14">
        <f>C5*(1+Assumptions!$B$2/365)</f>
        <v>1247.5125500012955</v>
      </c>
      <c r="D6" s="14">
        <f t="shared" si="0"/>
        <v>2742043.1854600878</v>
      </c>
      <c r="E6" s="14">
        <f>E5*(1+Assumptions!$B$3/365)</f>
        <v>252072.58152270762</v>
      </c>
      <c r="F6" s="14">
        <f>F5*(1+Assumptions!$B$4/365)</f>
        <v>548934.46097367769</v>
      </c>
      <c r="G6" s="14">
        <f t="shared" si="1"/>
        <v>801007.04249638529</v>
      </c>
      <c r="H6" s="22">
        <f t="shared" si="2"/>
        <v>1941036.1429637026</v>
      </c>
    </row>
    <row r="7" spans="1:8" x14ac:dyDescent="0.3">
      <c r="A7" s="26">
        <f t="shared" si="3"/>
        <v>45418</v>
      </c>
      <c r="B7" s="13">
        <f>B6*(1+Assumptions!$B$7/365)</f>
        <v>2198.6106914640536</v>
      </c>
      <c r="C7" s="14">
        <f>C6*(1+Assumptions!$B$2/365)</f>
        <v>1247.615085279378</v>
      </c>
      <c r="D7" s="14">
        <f t="shared" si="0"/>
        <v>2743019.8653270775</v>
      </c>
      <c r="E7" s="14">
        <f>E6*(1+Assumptions!$B$3/365)</f>
        <v>252107.11201332716</v>
      </c>
      <c r="F7" s="14">
        <f>F6*(1+Assumptions!$B$4/365)</f>
        <v>549235.24697969074</v>
      </c>
      <c r="G7" s="14">
        <f t="shared" si="1"/>
        <v>801342.35899301793</v>
      </c>
      <c r="H7" s="22">
        <f t="shared" si="2"/>
        <v>1941677.5063340594</v>
      </c>
    </row>
    <row r="8" spans="1:8" x14ac:dyDescent="0.3">
      <c r="A8" s="26">
        <f t="shared" si="3"/>
        <v>45419</v>
      </c>
      <c r="B8" s="13">
        <f>B7*(1+Assumptions!$B$7/365)</f>
        <v>2199.2130505576051</v>
      </c>
      <c r="C8" s="14">
        <f>C7*(1+Assumptions!$B$2/365)</f>
        <v>1247.7176289850177</v>
      </c>
      <c r="D8" s="14">
        <f t="shared" si="0"/>
        <v>2743996.8930746429</v>
      </c>
      <c r="E8" s="14">
        <f>E7*(1+Assumptions!$B$3/365)</f>
        <v>252141.64723415091</v>
      </c>
      <c r="F8" s="14">
        <f>F7*(1+Assumptions!$B$4/365)</f>
        <v>549536.19779995363</v>
      </c>
      <c r="G8" s="14">
        <f t="shared" si="1"/>
        <v>801677.84503410454</v>
      </c>
      <c r="H8" s="22">
        <f t="shared" si="2"/>
        <v>1942319.0480405383</v>
      </c>
    </row>
    <row r="9" spans="1:8" x14ac:dyDescent="0.3">
      <c r="A9" s="26">
        <f t="shared" si="3"/>
        <v>45420</v>
      </c>
      <c r="B9" s="13">
        <f>B8*(1+Assumptions!$B$7/365)</f>
        <v>2199.8155746810453</v>
      </c>
      <c r="C9" s="14">
        <f>C8*(1+Assumptions!$B$2/365)</f>
        <v>1247.8201811189069</v>
      </c>
      <c r="D9" s="14">
        <f t="shared" si="0"/>
        <v>2744974.2688266942</v>
      </c>
      <c r="E9" s="14">
        <f>E8*(1+Assumptions!$B$3/365)</f>
        <v>252176.1871858268</v>
      </c>
      <c r="F9" s="14">
        <f>F8*(1+Assumptions!$B$4/365)</f>
        <v>549837.31352477556</v>
      </c>
      <c r="G9" s="14">
        <f t="shared" si="1"/>
        <v>802013.50071060238</v>
      </c>
      <c r="H9" s="22">
        <f t="shared" si="2"/>
        <v>1942960.7681160918</v>
      </c>
    </row>
    <row r="10" spans="1:8" x14ac:dyDescent="0.3">
      <c r="A10" s="26">
        <f t="shared" si="3"/>
        <v>45421</v>
      </c>
      <c r="B10" s="13">
        <f>B9*(1+Assumptions!$B$7/365)</f>
        <v>2200.4182638795878</v>
      </c>
      <c r="C10" s="14">
        <f>C9*(1+Assumptions!$B$2/365)</f>
        <v>1247.9227416817387</v>
      </c>
      <c r="D10" s="14">
        <f t="shared" si="0"/>
        <v>2745951.9927071868</v>
      </c>
      <c r="E10" s="14">
        <f>E9*(1+Assumptions!$B$3/365)</f>
        <v>252210.73186900292</v>
      </c>
      <c r="F10" s="14">
        <f>F9*(1+Assumptions!$B$4/365)</f>
        <v>550138.59424451517</v>
      </c>
      <c r="G10" s="14">
        <f t="shared" si="1"/>
        <v>802349.32611351809</v>
      </c>
      <c r="H10" s="22">
        <f t="shared" si="2"/>
        <v>1943602.6665936687</v>
      </c>
    </row>
    <row r="11" spans="1:8" x14ac:dyDescent="0.3">
      <c r="A11" s="26">
        <f t="shared" si="3"/>
        <v>45422</v>
      </c>
      <c r="B11" s="13">
        <f>B10*(1+Assumptions!$B$7/365)</f>
        <v>2201.0211181984587</v>
      </c>
      <c r="C11" s="14">
        <f>C10*(1+Assumptions!$B$2/365)</f>
        <v>1248.0253106742059</v>
      </c>
      <c r="D11" s="14">
        <f t="shared" si="0"/>
        <v>2746930.0648401193</v>
      </c>
      <c r="E11" s="14">
        <f>E10*(1+Assumptions!$B$3/365)</f>
        <v>252245.28128432744</v>
      </c>
      <c r="F11" s="14">
        <f>F10*(1+Assumptions!$B$4/365)</f>
        <v>550440.04004958074</v>
      </c>
      <c r="G11" s="14">
        <f t="shared" si="1"/>
        <v>802685.32133390824</v>
      </c>
      <c r="H11" s="22">
        <f t="shared" si="2"/>
        <v>1944244.7435062111</v>
      </c>
    </row>
    <row r="12" spans="1:8" x14ac:dyDescent="0.3">
      <c r="A12" s="26">
        <f t="shared" si="3"/>
        <v>45423</v>
      </c>
      <c r="B12" s="13">
        <f>B11*(1+Assumptions!$B$7/365)</f>
        <v>2201.6241376828966</v>
      </c>
      <c r="C12" s="14">
        <f>C11*(1+Assumptions!$B$2/365)</f>
        <v>1248.1278880970012</v>
      </c>
      <c r="D12" s="14">
        <f t="shared" si="0"/>
        <v>2747908.485349535</v>
      </c>
      <c r="E12" s="14">
        <f>E11*(1+Assumptions!$B$3/365)</f>
        <v>252279.83543244857</v>
      </c>
      <c r="F12" s="14">
        <f>F11*(1+Assumptions!$B$4/365)</f>
        <v>550741.65103042987</v>
      </c>
      <c r="G12" s="14">
        <f t="shared" si="1"/>
        <v>803021.48646287841</v>
      </c>
      <c r="H12" s="22">
        <f t="shared" si="2"/>
        <v>1944886.9988866565</v>
      </c>
    </row>
    <row r="13" spans="1:8" x14ac:dyDescent="0.3">
      <c r="A13" s="26">
        <f t="shared" si="3"/>
        <v>45424</v>
      </c>
      <c r="B13" s="13">
        <f>B12*(1+Assumptions!$B$7/365)</f>
        <v>2202.2273223781522</v>
      </c>
      <c r="C13" s="14">
        <f>C12*(1+Assumptions!$B$2/365)</f>
        <v>1248.2304739508177</v>
      </c>
      <c r="D13" s="14">
        <f t="shared" si="0"/>
        <v>2748887.254359521</v>
      </c>
      <c r="E13" s="14">
        <f>E12*(1+Assumptions!$B$3/365)</f>
        <v>252314.39431401464</v>
      </c>
      <c r="F13" s="14">
        <f>F12*(1+Assumptions!$B$4/365)</f>
        <v>551043.42727756989</v>
      </c>
      <c r="G13" s="14">
        <f t="shared" si="1"/>
        <v>803357.82159158448</v>
      </c>
      <c r="H13" s="22">
        <f t="shared" si="2"/>
        <v>1945529.4327679365</v>
      </c>
    </row>
    <row r="14" spans="1:8" x14ac:dyDescent="0.3">
      <c r="A14" s="26">
        <f t="shared" si="3"/>
        <v>45425</v>
      </c>
      <c r="B14" s="13">
        <f>B13*(1+Assumptions!$B$7/365)</f>
        <v>2202.8306723294886</v>
      </c>
      <c r="C14" s="14">
        <f>C13*(1+Assumptions!$B$2/365)</f>
        <v>1248.333068236348</v>
      </c>
      <c r="D14" s="14">
        <f t="shared" si="0"/>
        <v>2749866.3719942081</v>
      </c>
      <c r="E14" s="14">
        <f>E13*(1+Assumptions!$B$3/365)</f>
        <v>252348.9579296741</v>
      </c>
      <c r="F14" s="14">
        <f>F13*(1+Assumptions!$B$4/365)</f>
        <v>551345.3688815576</v>
      </c>
      <c r="G14" s="14">
        <f t="shared" si="1"/>
        <v>803694.32681123167</v>
      </c>
      <c r="H14" s="22">
        <f t="shared" si="2"/>
        <v>1946172.0451829764</v>
      </c>
    </row>
    <row r="15" spans="1:8" x14ac:dyDescent="0.3">
      <c r="A15" s="26">
        <f t="shared" si="3"/>
        <v>45426</v>
      </c>
      <c r="B15" s="13">
        <f>B14*(1+Assumptions!$B$7/365)</f>
        <v>2203.4341875821815</v>
      </c>
      <c r="C15" s="14">
        <f>C14*(1+Assumptions!$B$2/365)</f>
        <v>1248.4356709542853</v>
      </c>
      <c r="D15" s="14">
        <f t="shared" si="0"/>
        <v>2750845.8383777714</v>
      </c>
      <c r="E15" s="14">
        <f>E14*(1+Assumptions!$B$3/365)</f>
        <v>252383.52628007543</v>
      </c>
      <c r="F15" s="14">
        <f>F14*(1+Assumptions!$B$4/365)</f>
        <v>551647.47593299963</v>
      </c>
      <c r="G15" s="14">
        <f t="shared" si="1"/>
        <v>804031.00221307506</v>
      </c>
      <c r="H15" s="22">
        <f t="shared" si="2"/>
        <v>1946814.8361646964</v>
      </c>
    </row>
    <row r="16" spans="1:8" x14ac:dyDescent="0.3">
      <c r="A16" s="26">
        <f t="shared" si="3"/>
        <v>45427</v>
      </c>
      <c r="B16" s="13">
        <f>B15*(1+Assumptions!$B$7/365)</f>
        <v>2204.0378681815191</v>
      </c>
      <c r="C16" s="14">
        <f>C15*(1+Assumptions!$B$2/365)</f>
        <v>1248.5382821053229</v>
      </c>
      <c r="D16" s="14">
        <f t="shared" si="0"/>
        <v>2751825.6536344318</v>
      </c>
      <c r="E16" s="14">
        <f>E15*(1+Assumptions!$B$3/365)</f>
        <v>252418.09936586721</v>
      </c>
      <c r="F16" s="14">
        <f>F15*(1+Assumptions!$B$4/365)</f>
        <v>551949.74852255196</v>
      </c>
      <c r="G16" s="14">
        <f t="shared" si="1"/>
        <v>804367.84788841917</v>
      </c>
      <c r="H16" s="22">
        <f t="shared" si="2"/>
        <v>1947457.8057460126</v>
      </c>
    </row>
    <row r="17" spans="1:8" x14ac:dyDescent="0.3">
      <c r="A17" s="26">
        <f t="shared" si="3"/>
        <v>45428</v>
      </c>
      <c r="B17" s="13">
        <f>B16*(1+Assumptions!$B$7/365)</f>
        <v>2204.6417141728016</v>
      </c>
      <c r="C17" s="14">
        <f>C16*(1+Assumptions!$B$2/365)</f>
        <v>1248.6409016901537</v>
      </c>
      <c r="D17" s="14">
        <f t="shared" si="0"/>
        <v>2752805.8178884531</v>
      </c>
      <c r="E17" s="14">
        <f>E16*(1+Assumptions!$B$3/365)</f>
        <v>252452.67718769814</v>
      </c>
      <c r="F17" s="14">
        <f>F16*(1+Assumptions!$B$4/365)</f>
        <v>552252.18674092053</v>
      </c>
      <c r="G17" s="14">
        <f t="shared" si="1"/>
        <v>804704.86392861861</v>
      </c>
      <c r="H17" s="22">
        <f t="shared" si="2"/>
        <v>1948100.9539598345</v>
      </c>
    </row>
    <row r="18" spans="1:8" x14ac:dyDescent="0.3">
      <c r="A18" s="26">
        <f t="shared" si="3"/>
        <v>45429</v>
      </c>
      <c r="B18" s="13">
        <f>B17*(1+Assumptions!$B$7/365)</f>
        <v>2205.2457256013417</v>
      </c>
      <c r="C18" s="14">
        <f>C17*(1+Assumptions!$B$2/365)</f>
        <v>1248.7435297094707</v>
      </c>
      <c r="D18" s="14">
        <f t="shared" si="0"/>
        <v>2753786.3312641424</v>
      </c>
      <c r="E18" s="14">
        <f>E17*(1+Assumptions!$B$3/365)</f>
        <v>252487.25974621699</v>
      </c>
      <c r="F18" s="14">
        <f>F17*(1+Assumptions!$B$4/365)</f>
        <v>552554.79067886085</v>
      </c>
      <c r="G18" s="14">
        <f t="shared" si="1"/>
        <v>805042.05042507779</v>
      </c>
      <c r="H18" s="22">
        <f t="shared" si="2"/>
        <v>1948744.2808390646</v>
      </c>
    </row>
    <row r="19" spans="1:8" x14ac:dyDescent="0.3">
      <c r="A19" s="26">
        <f t="shared" si="3"/>
        <v>45430</v>
      </c>
      <c r="B19" s="13">
        <f>B18*(1+Assumptions!$B$7/365)</f>
        <v>2205.8499025124652</v>
      </c>
      <c r="C19" s="14">
        <f>C18*(1+Assumptions!$B$2/365)</f>
        <v>1248.8461661639676</v>
      </c>
      <c r="D19" s="14">
        <f t="shared" si="0"/>
        <v>2754767.193885854</v>
      </c>
      <c r="E19" s="14">
        <f>E18*(1+Assumptions!$B$3/365)</f>
        <v>252521.84704207262</v>
      </c>
      <c r="F19" s="14">
        <f>F18*(1+Assumptions!$B$4/365)</f>
        <v>552857.56042717805</v>
      </c>
      <c r="G19" s="14">
        <f t="shared" si="1"/>
        <v>805379.40746925073</v>
      </c>
      <c r="H19" s="22">
        <f t="shared" si="2"/>
        <v>1949387.7864166033</v>
      </c>
    </row>
    <row r="20" spans="1:8" x14ac:dyDescent="0.3">
      <c r="A20" s="26">
        <f t="shared" si="3"/>
        <v>45431</v>
      </c>
      <c r="B20" s="13">
        <f>B19*(1+Assumptions!$B$7/365)</f>
        <v>2206.4542449515097</v>
      </c>
      <c r="C20" s="14">
        <f>C19*(1+Assumptions!$B$2/365)</f>
        <v>1248.9488110543373</v>
      </c>
      <c r="D20" s="14">
        <f t="shared" si="0"/>
        <v>2755748.4058779837</v>
      </c>
      <c r="E20" s="14">
        <f>E19*(1+Assumptions!$B$3/365)</f>
        <v>252556.43907591398</v>
      </c>
      <c r="F20" s="14">
        <f>F19*(1+Assumptions!$B$4/365)</f>
        <v>553160.49607672717</v>
      </c>
      <c r="G20" s="14">
        <f t="shared" si="1"/>
        <v>805716.93515264115</v>
      </c>
      <c r="H20" s="22">
        <f t="shared" si="2"/>
        <v>1950031.4707253426</v>
      </c>
    </row>
    <row r="21" spans="1:8" x14ac:dyDescent="0.3">
      <c r="A21" s="26">
        <f t="shared" si="3"/>
        <v>45432</v>
      </c>
      <c r="B21" s="13">
        <f>B20*(1+Assumptions!$B$7/365)</f>
        <v>2207.0587529638251</v>
      </c>
      <c r="C21" s="14">
        <f>C20*(1+Assumptions!$B$2/365)</f>
        <v>1249.0514643812735</v>
      </c>
      <c r="D21" s="14">
        <f t="shared" si="0"/>
        <v>2756729.9673649729</v>
      </c>
      <c r="E21" s="14">
        <f>E20*(1+Assumptions!$B$3/365)</f>
        <v>252591.03584839011</v>
      </c>
      <c r="F21" s="14">
        <f>F20*(1+Assumptions!$B$4/365)</f>
        <v>553463.5977184131</v>
      </c>
      <c r="G21" s="14">
        <f t="shared" si="1"/>
        <v>806054.63356680318</v>
      </c>
      <c r="H21" s="22">
        <f t="shared" si="2"/>
        <v>1950675.3337981696</v>
      </c>
    </row>
    <row r="22" spans="1:8" x14ac:dyDescent="0.3">
      <c r="A22" s="26">
        <f t="shared" si="3"/>
        <v>45433</v>
      </c>
      <c r="B22" s="13">
        <f>B21*(1+Assumptions!$B$7/365)</f>
        <v>2207.6634265947741</v>
      </c>
      <c r="C22" s="14">
        <f>C21*(1+Assumptions!$B$2/365)</f>
        <v>1249.1541261454693</v>
      </c>
      <c r="D22" s="14">
        <f t="shared" si="0"/>
        <v>2757711.8784713075</v>
      </c>
      <c r="E22" s="14">
        <f>E21*(1+Assumptions!$B$3/365)</f>
        <v>252625.63736015014</v>
      </c>
      <c r="F22" s="14">
        <f>F21*(1+Assumptions!$B$4/365)</f>
        <v>553766.86544319033</v>
      </c>
      <c r="G22" s="14">
        <f t="shared" si="1"/>
        <v>806392.50280334044</v>
      </c>
      <c r="H22" s="22">
        <f t="shared" si="2"/>
        <v>1951319.3756679669</v>
      </c>
    </row>
    <row r="23" spans="1:8" x14ac:dyDescent="0.3">
      <c r="A23" s="26">
        <f t="shared" si="3"/>
        <v>45434</v>
      </c>
      <c r="B23" s="13">
        <f>B22*(1+Assumptions!$B$7/365)</f>
        <v>2208.2682658897315</v>
      </c>
      <c r="C23" s="14">
        <f>C22*(1+Assumptions!$B$2/365)</f>
        <v>1249.2567963476183</v>
      </c>
      <c r="D23" s="14">
        <f t="shared" si="0"/>
        <v>2758694.1393215167</v>
      </c>
      <c r="E23" s="14">
        <f>E22*(1+Assumptions!$B$3/365)</f>
        <v>252660.2436118433</v>
      </c>
      <c r="F23" s="14">
        <f>F22*(1+Assumptions!$B$4/365)</f>
        <v>554070.29934206337</v>
      </c>
      <c r="G23" s="14">
        <f t="shared" si="1"/>
        <v>806730.5429539067</v>
      </c>
      <c r="H23" s="22">
        <f t="shared" si="2"/>
        <v>1951963.5963676102</v>
      </c>
    </row>
    <row r="24" spans="1:8" x14ac:dyDescent="0.3">
      <c r="A24" s="26">
        <f t="shared" si="3"/>
        <v>45435</v>
      </c>
      <c r="B24" s="13">
        <f>B23*(1+Assumptions!$B$7/365)</f>
        <v>2208.8732708940847</v>
      </c>
      <c r="C24" s="14">
        <f>C23*(1+Assumptions!$B$2/365)</f>
        <v>1249.3594749884141</v>
      </c>
      <c r="D24" s="14">
        <f t="shared" si="0"/>
        <v>2759676.7500401749</v>
      </c>
      <c r="E24" s="14">
        <f>E23*(1+Assumptions!$B$3/365)</f>
        <v>252694.85460411888</v>
      </c>
      <c r="F24" s="14">
        <f>F23*(1+Assumptions!$B$4/365)</f>
        <v>554373.89950608648</v>
      </c>
      <c r="G24" s="14">
        <f t="shared" si="1"/>
        <v>807068.75411020534</v>
      </c>
      <c r="H24" s="22">
        <f t="shared" si="2"/>
        <v>1952607.9959299695</v>
      </c>
    </row>
    <row r="25" spans="1:8" x14ac:dyDescent="0.3">
      <c r="A25" s="26">
        <f t="shared" si="3"/>
        <v>45436</v>
      </c>
      <c r="B25" s="13">
        <f>B24*(1+Assumptions!$B$7/365)</f>
        <v>2209.4784416532334</v>
      </c>
      <c r="C25" s="14">
        <f>C24*(1+Assumptions!$B$2/365)</f>
        <v>1249.4621620685502</v>
      </c>
      <c r="D25" s="14">
        <f t="shared" si="0"/>
        <v>2760659.7107519</v>
      </c>
      <c r="E25" s="14">
        <f>E24*(1+Assumptions!$B$3/365)</f>
        <v>252729.47033762629</v>
      </c>
      <c r="F25" s="14">
        <f>F24*(1+Assumptions!$B$4/365)</f>
        <v>554677.66602636385</v>
      </c>
      <c r="G25" s="14">
        <f t="shared" si="1"/>
        <v>807407.13636399014</v>
      </c>
      <c r="H25" s="22">
        <f t="shared" si="2"/>
        <v>1953252.5743879098</v>
      </c>
    </row>
    <row r="26" spans="1:8" x14ac:dyDescent="0.3">
      <c r="A26" s="26">
        <f t="shared" si="3"/>
        <v>45437</v>
      </c>
      <c r="B26" s="13">
        <f>B25*(1+Assumptions!$B$7/365)</f>
        <v>2210.0837782125905</v>
      </c>
      <c r="C26" s="14">
        <f>C25*(1+Assumptions!$B$2/365)</f>
        <v>1249.5648575887203</v>
      </c>
      <c r="D26" s="14">
        <f t="shared" si="0"/>
        <v>2761643.0215813564</v>
      </c>
      <c r="E26" s="14">
        <f>E25*(1+Assumptions!$B$3/365)</f>
        <v>252764.09081301501</v>
      </c>
      <c r="F26" s="14">
        <f>F25*(1+Assumptions!$B$4/365)</f>
        <v>554981.59899404959</v>
      </c>
      <c r="G26" s="14">
        <f t="shared" si="1"/>
        <v>807745.6898070646</v>
      </c>
      <c r="H26" s="22">
        <f t="shared" si="2"/>
        <v>1953897.3317742918</v>
      </c>
    </row>
    <row r="27" spans="1:8" x14ac:dyDescent="0.3">
      <c r="A27" s="26">
        <f t="shared" si="3"/>
        <v>45438</v>
      </c>
      <c r="B27" s="13">
        <f>B26*(1+Assumptions!$B$7/365)</f>
        <v>2210.6892806175802</v>
      </c>
      <c r="C27" s="14">
        <f>C26*(1+Assumptions!$B$2/365)</f>
        <v>1249.6675615496181</v>
      </c>
      <c r="D27" s="14">
        <f t="shared" si="0"/>
        <v>2762626.6826532506</v>
      </c>
      <c r="E27" s="14">
        <f>E26*(1+Assumptions!$B$3/365)</f>
        <v>252798.71603093459</v>
      </c>
      <c r="F27" s="14">
        <f>F26*(1+Assumptions!$B$4/365)</f>
        <v>555285.69850034779</v>
      </c>
      <c r="G27" s="14">
        <f t="shared" si="1"/>
        <v>808084.41453128238</v>
      </c>
      <c r="H27" s="22">
        <f t="shared" si="2"/>
        <v>1954542.2681219683</v>
      </c>
    </row>
    <row r="28" spans="1:8" x14ac:dyDescent="0.3">
      <c r="A28" s="26">
        <f t="shared" si="3"/>
        <v>45439</v>
      </c>
      <c r="B28" s="13">
        <f>B27*(1+Assumptions!$B$7/365)</f>
        <v>2211.2949489136395</v>
      </c>
      <c r="C28" s="14">
        <f>C27*(1+Assumptions!$B$2/365)</f>
        <v>1249.7702739519373</v>
      </c>
      <c r="D28" s="14">
        <f t="shared" si="0"/>
        <v>2763610.6940923342</v>
      </c>
      <c r="E28" s="14">
        <f>E27*(1+Assumptions!$B$3/365)</f>
        <v>252833.34599203471</v>
      </c>
      <c r="F28" s="14">
        <f>F27*(1+Assumptions!$B$4/365)</f>
        <v>555589.96463651245</v>
      </c>
      <c r="G28" s="14">
        <f t="shared" si="1"/>
        <v>808423.3106285471</v>
      </c>
      <c r="H28" s="22">
        <f t="shared" si="2"/>
        <v>1955187.3834637871</v>
      </c>
    </row>
    <row r="29" spans="1:8" x14ac:dyDescent="0.3">
      <c r="A29" s="26">
        <f t="shared" si="3"/>
        <v>45440</v>
      </c>
      <c r="B29" s="13">
        <f>B28*(1+Assumptions!$B$7/365)</f>
        <v>2211.9007831462186</v>
      </c>
      <c r="C29" s="14">
        <f>C28*(1+Assumptions!$B$2/365)</f>
        <v>1249.8729947963718</v>
      </c>
      <c r="D29" s="14">
        <f t="shared" si="0"/>
        <v>2764595.0560234045</v>
      </c>
      <c r="E29" s="14">
        <f>E28*(1+Assumptions!$B$3/365)</f>
        <v>252867.98069696513</v>
      </c>
      <c r="F29" s="14">
        <f>F28*(1+Assumptions!$B$4/365)</f>
        <v>555894.39749384753</v>
      </c>
      <c r="G29" s="14">
        <f t="shared" si="1"/>
        <v>808762.37819081265</v>
      </c>
      <c r="H29" s="22">
        <f t="shared" si="2"/>
        <v>1955832.6778325918</v>
      </c>
    </row>
    <row r="30" spans="1:8" x14ac:dyDescent="0.3">
      <c r="A30" s="26">
        <f t="shared" si="3"/>
        <v>45441</v>
      </c>
      <c r="B30" s="13">
        <f>B29*(1+Assumptions!$B$7/365)</f>
        <v>2212.5067833607791</v>
      </c>
      <c r="C30" s="14">
        <f>C29*(1+Assumptions!$B$2/365)</f>
        <v>1249.9757240836154</v>
      </c>
      <c r="D30" s="14">
        <f t="shared" si="0"/>
        <v>2765579.7685713009</v>
      </c>
      <c r="E30" s="14">
        <f>E29*(1+Assumptions!$B$3/365)</f>
        <v>252902.62014637564</v>
      </c>
      <c r="F30" s="14">
        <f>F29*(1+Assumptions!$B$4/365)</f>
        <v>556198.99716370716</v>
      </c>
      <c r="G30" s="14">
        <f t="shared" si="1"/>
        <v>809101.61731008277</v>
      </c>
      <c r="H30" s="22">
        <f t="shared" si="2"/>
        <v>1956478.1512612181</v>
      </c>
    </row>
    <row r="31" spans="1:8" x14ac:dyDescent="0.3">
      <c r="A31" s="26">
        <f>A30+1</f>
        <v>45442</v>
      </c>
      <c r="B31" s="13">
        <f>B30*(1+Assumptions!$B$7/365)</f>
        <v>2213.1129496027957</v>
      </c>
      <c r="C31" s="14">
        <f>C30*(1+Assumptions!$B$2/365)</f>
        <v>1250.0784618143621</v>
      </c>
      <c r="D31" s="14">
        <f t="shared" si="0"/>
        <v>2766564.8318609088</v>
      </c>
      <c r="E31" s="14">
        <f>E30*(1+Assumptions!$B$3/365)</f>
        <v>252937.26434091624</v>
      </c>
      <c r="F31" s="14">
        <f>F30*(1+Assumptions!$B$4/365)</f>
        <v>556503.76373749552</v>
      </c>
      <c r="G31" s="14">
        <f t="shared" si="1"/>
        <v>809441.02807841171</v>
      </c>
      <c r="H31" s="22">
        <f t="shared" si="2"/>
        <v>1957123.8037824971</v>
      </c>
    </row>
    <row r="32" spans="1:8" x14ac:dyDescent="0.3">
      <c r="A32" s="27">
        <f t="shared" si="3"/>
        <v>45443</v>
      </c>
      <c r="B32" s="28">
        <f>B31*(1+Assumptions!$B$7/365)</f>
        <v>2213.7192819177553</v>
      </c>
      <c r="C32" s="29">
        <f>C31*(1+Assumptions!$B$2/365)</f>
        <v>1250.1812079893059</v>
      </c>
      <c r="D32" s="29">
        <f t="shared" si="0"/>
        <v>2767550.246017158</v>
      </c>
      <c r="E32" s="29">
        <f>E31*(1+Assumptions!$B$3/365)</f>
        <v>252971.91328123689</v>
      </c>
      <c r="F32" s="29">
        <f>F31*(1+Assumptions!$B$4/365)</f>
        <v>556808.69730666676</v>
      </c>
      <c r="G32" s="29">
        <f t="shared" si="1"/>
        <v>809780.61058790365</v>
      </c>
      <c r="H32" s="30">
        <f t="shared" si="2"/>
        <v>1957769.6354292543</v>
      </c>
    </row>
    <row r="36" spans="3:4" x14ac:dyDescent="0.3">
      <c r="C36"/>
      <c r="D36"/>
    </row>
    <row r="37" spans="3:4" x14ac:dyDescent="0.3">
      <c r="C37"/>
      <c r="D37"/>
    </row>
    <row r="38" spans="3:4" x14ac:dyDescent="0.3">
      <c r="C38"/>
      <c r="D38"/>
    </row>
    <row r="39" spans="3:4" x14ac:dyDescent="0.3">
      <c r="C39"/>
      <c r="D39"/>
    </row>
    <row r="40" spans="3:4" x14ac:dyDescent="0.3">
      <c r="C40"/>
      <c r="D40"/>
    </row>
    <row r="41" spans="3:4" x14ac:dyDescent="0.3">
      <c r="C41"/>
      <c r="D41"/>
    </row>
    <row r="42" spans="3:4" x14ac:dyDescent="0.3">
      <c r="C42"/>
      <c r="D4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B86E-5851-4F5A-982C-BCE543134C92}">
  <dimension ref="A1"/>
  <sheetViews>
    <sheetView zoomScale="65" workbookViewId="0">
      <selection activeCell="T23" sqref="T23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27DDEA1-1EED-4BBE-A500-0FD9C2DE16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Dashboard!P25:P55</xm:f>
              <xm:sqref>Q26</xm:sqref>
            </x14:sparkline>
          </x14:sparklines>
        </x14:sparklineGroup>
        <x14:sparklineGroup displayEmptyCellsAs="gap" xr2:uid="{1D4332F7-65D7-41D9-ACFA-FB6DADECFC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Dashboard!A41:A71</xm:f>
              <xm:sqref>B42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Historical_Data</vt:lpstr>
      <vt:lpstr>Assumptions</vt:lpstr>
      <vt:lpstr>Income_statement</vt:lpstr>
      <vt:lpstr>SUMMARY</vt:lpstr>
      <vt:lpstr>Revenue_and_expense_forecast</vt:lpstr>
      <vt:lpstr>Dashboard</vt:lpstr>
      <vt:lpstr>Hist_Data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Manjesh Kushwaha</dc:creator>
  <cp:lastModifiedBy>Manjesh Kushwaha</cp:lastModifiedBy>
  <dcterms:created xsi:type="dcterms:W3CDTF">2026-02-25T15:23:45Z</dcterms:created>
  <dcterms:modified xsi:type="dcterms:W3CDTF">2026-02-27T10:53:46Z</dcterms:modified>
</cp:coreProperties>
</file>